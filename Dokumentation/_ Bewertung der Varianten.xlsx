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wertungsmatrix" sheetId="1" r:id="rId4"/>
    <sheet state="visible" name="Bewertung der Varianten" sheetId="2" r:id="rId5"/>
    <sheet state="visible" name="Copy of Bewertung der Varianten" sheetId="3" r:id="rId6"/>
    <sheet state="visible" name="Bewertung der Varianten Premium" sheetId="4" r:id="rId7"/>
  </sheets>
  <definedNames/>
  <calcPr/>
</workbook>
</file>

<file path=xl/sharedStrings.xml><?xml version="1.0" encoding="utf-8"?>
<sst xmlns="http://schemas.openxmlformats.org/spreadsheetml/2006/main" count="663" uniqueCount="188">
  <si>
    <t>Wichtung</t>
  </si>
  <si>
    <t>V1</t>
  </si>
  <si>
    <t>V2</t>
  </si>
  <si>
    <t>V3</t>
  </si>
  <si>
    <t>V4</t>
  </si>
  <si>
    <t>V5</t>
  </si>
  <si>
    <t>V6</t>
  </si>
  <si>
    <t>V7</t>
  </si>
  <si>
    <r>
      <rPr>
        <rFont val="Calibri"/>
        <b/>
        <color theme="1"/>
        <sz val="11.0"/>
      </rPr>
      <t>Beurteilung der Varianten</t>
    </r>
    <r>
      <rPr>
        <rFont val="Calibri"/>
        <b val="0"/>
        <color theme="1"/>
        <sz val="11.0"/>
      </rPr>
      <t xml:space="preserve"> </t>
    </r>
  </si>
  <si>
    <t>Faktor</t>
  </si>
  <si>
    <t>%-Anteil</t>
  </si>
  <si>
    <t>Wert</t>
  </si>
  <si>
    <t>Bewertung</t>
  </si>
  <si>
    <t>Kriterien</t>
  </si>
  <si>
    <t>25€ für das gesamte Projekt</t>
  </si>
  <si>
    <t>Distanz: 40m</t>
  </si>
  <si>
    <t>Maximum 100g</t>
  </si>
  <si>
    <t>Ist das Konzept zielführend 
(der schnellste gewinnt)</t>
  </si>
  <si>
    <t>Summen</t>
  </si>
  <si>
    <t>(0=schlecht, bis 100=ausgezeichnet)</t>
  </si>
  <si>
    <t>Bewertungen nur in die grünen Felder eintragen</t>
  </si>
  <si>
    <t>Name</t>
  </si>
  <si>
    <t>Jef  Nanfack</t>
  </si>
  <si>
    <t>Datum</t>
  </si>
  <si>
    <t>05.10.2025</t>
  </si>
  <si>
    <t>Projekt</t>
  </si>
  <si>
    <t>Fernsteuerung</t>
  </si>
  <si>
    <t>Ausgewählte Gesamtlösung ist mit blau markiert</t>
  </si>
  <si>
    <t>Steuerplattform &amp; Bildübertragung</t>
  </si>
  <si>
    <t>ESP32-CAM + GSM Module</t>
  </si>
  <si>
    <t>Raspberry Pi + PI-Kamera</t>
  </si>
  <si>
    <t>IP-Cam mit RTSP</t>
  </si>
  <si>
    <r>
      <rPr>
        <rFont val="Calibri,Arial"/>
        <b/>
        <color theme="1"/>
        <sz val="11.0"/>
      </rPr>
      <t>Beurteilung der Varianten</t>
    </r>
    <r>
      <rPr>
        <rFont val="Calibri"/>
        <b val="0"/>
        <color theme="1"/>
        <sz val="11.0"/>
      </rPr>
      <t xml:space="preserve"> </t>
    </r>
  </si>
  <si>
    <t>Kosten</t>
  </si>
  <si>
    <t>Energieeffizienz</t>
  </si>
  <si>
    <t>Videoqualität</t>
  </si>
  <si>
    <t>Latenz</t>
  </si>
  <si>
    <t>Zuverlässigkeit</t>
  </si>
  <si>
    <t>Bandbreite</t>
  </si>
  <si>
    <t>Kompatibilität</t>
  </si>
  <si>
    <t>Integrationsaufwand</t>
  </si>
  <si>
    <t>Platzbedarf</t>
  </si>
  <si>
    <t>Benutzeroberfläche</t>
  </si>
  <si>
    <t>Weboberfläche (HTML/JS)</t>
  </si>
  <si>
    <t>Android-App native (Kotlin)</t>
  </si>
  <si>
    <t>Flutter-App</t>
  </si>
  <si>
    <t>Benutzerfreundlichkeit</t>
  </si>
  <si>
    <t>Reaktionsgeschwindigkeit</t>
  </si>
  <si>
    <t>Installationsaufwand</t>
  </si>
  <si>
    <t>Plattformunabhängigkeit</t>
  </si>
  <si>
    <t>Designfreiheit</t>
  </si>
  <si>
    <t>Offline-Fähigkeit</t>
  </si>
  <si>
    <t>Entwicklungsaufwand</t>
  </si>
  <si>
    <t>Wartbarkeit / Erweiterbarkeit</t>
  </si>
  <si>
    <t>Kompatibilität mit WebSocket</t>
  </si>
  <si>
    <t>Internetverbindung</t>
  </si>
  <si>
    <t>Handy-Hotspot (STA-Modus)</t>
  </si>
  <si>
    <t>LTE-Modem (4G USB)</t>
  </si>
  <si>
    <t>WLAN mit statischer IP</t>
  </si>
  <si>
    <t>Reichweite / Mobilität</t>
  </si>
  <si>
    <t>Stabilität</t>
  </si>
  <si>
    <t>Datenrate / Bandbreite</t>
  </si>
  <si>
    <t>Energieverbrauch</t>
  </si>
  <si>
    <t>Einrichtungsaufwand</t>
  </si>
  <si>
    <t>Abdeckung</t>
  </si>
  <si>
    <t>Sicherheit</t>
  </si>
  <si>
    <t>Fahrzeug-Antrieb</t>
  </si>
  <si>
    <t>Scheinwischer-Motor</t>
  </si>
  <si>
    <t>Servo + ESC</t>
  </si>
  <si>
    <t>Schrittmotor + Treiber</t>
  </si>
  <si>
    <t>Drehmoment / Leistung</t>
  </si>
  <si>
    <t>Steuerbarkeit / Regelbarkeit</t>
  </si>
  <si>
    <t>Komplexität der Ansteuerung</t>
  </si>
  <si>
    <t>Wartungsaufwand</t>
  </si>
  <si>
    <t>Kompaktheit</t>
  </si>
  <si>
    <t>Dynamik / Beschleunigung</t>
  </si>
  <si>
    <t>StromversorgungsKompatibilität</t>
  </si>
  <si>
    <t>Authentifizierung</t>
  </si>
  <si>
    <t>Passwort im Webinterface</t>
  </si>
  <si>
    <t>OAuth über Server</t>
  </si>
  <si>
    <t>Token-basierte Login</t>
  </si>
  <si>
    <t>Sicherheitsniveau</t>
  </si>
  <si>
    <t>Implementierungsaufwand</t>
  </si>
  <si>
    <t>Komplexität / Wartung</t>
  </si>
  <si>
    <t>Skalierbarkeit</t>
  </si>
  <si>
    <t>Energieversorgung</t>
  </si>
  <si>
    <t>12V Bleiakku + Step-Down</t>
  </si>
  <si>
    <t>3S Li-Ion 18650 Pack</t>
  </si>
  <si>
    <t>Powerbank (USB + DC-Wandler)</t>
  </si>
  <si>
    <t>Betriebsdauer</t>
  </si>
  <si>
    <t>Strombelastbarkeit</t>
  </si>
  <si>
    <t>Spannungsstabilität</t>
  </si>
  <si>
    <t>Gewicht / Größe</t>
  </si>
  <si>
    <t>Ladegeschwindigkeit</t>
  </si>
  <si>
    <t>Lenkung</t>
  </si>
  <si>
    <t>Differenziell</t>
  </si>
  <si>
    <t>Achsschenkellenkung</t>
  </si>
  <si>
    <t>Mechanisch mit Servo</t>
  </si>
  <si>
    <t>Steuerpräzision</t>
  </si>
  <si>
    <t>Wendigkeit</t>
  </si>
  <si>
    <t>Mechanische Komplexität</t>
  </si>
  <si>
    <t>Fahrstabilität</t>
  </si>
  <si>
    <t>Kompatibilität (mit Pi + L298N)</t>
  </si>
  <si>
    <t>Ansteuerungskomplexität</t>
  </si>
  <si>
    <t>Hinderniserkennung</t>
  </si>
  <si>
    <t>Ultraschallsensor (HC-SR04)</t>
  </si>
  <si>
    <t>IR-Distanzsensor</t>
  </si>
  <si>
    <t>LIDAR-Sensor</t>
  </si>
  <si>
    <t>Messreichweite</t>
  </si>
  <si>
    <t>Messgenauigkeit</t>
  </si>
  <si>
    <t>Reaktionszeit</t>
  </si>
  <si>
    <t>Erfassungswinkel</t>
  </si>
  <si>
    <t>Störanfälligkeit</t>
  </si>
  <si>
    <t>Abmessung</t>
  </si>
  <si>
    <t xml:space="preserve"> LED-Statusanzeige</t>
  </si>
  <si>
    <t xml:space="preserve"> 2-Farb-LED (Rot/Grün für Akku/)</t>
  </si>
  <si>
    <t>RGB-LED mit Farbcodes</t>
  </si>
  <si>
    <t xml:space="preserve">Mehrere Einzel- LEDs </t>
  </si>
  <si>
    <t>Informationsgehalt</t>
  </si>
  <si>
    <t>Erkennbarkeit</t>
  </si>
  <si>
    <t>Benutzerverständlichkeit</t>
  </si>
  <si>
    <t>Kompatibilität (GPIO)</t>
  </si>
  <si>
    <t>Signalverarbeitung &amp; Übertragung</t>
  </si>
  <si>
    <t>WebSocket (ESP32 &lt;-&gt; App)</t>
  </si>
  <si>
    <t>WebSocket-Server auf Pi(Realtime)</t>
  </si>
  <si>
    <t>MQTT (über externen Broker)</t>
  </si>
  <si>
    <t>Übertragungsgeschwindigkeit</t>
  </si>
  <si>
    <t>Implementierungskomplexität</t>
  </si>
  <si>
    <t>Datenintegrität</t>
  </si>
  <si>
    <t>Ressourcenbedarf</t>
  </si>
  <si>
    <t>Kompatibilität mit App/Kamera</t>
  </si>
  <si>
    <t>Kosten / Infrastruktur</t>
  </si>
  <si>
    <t>Programmierung</t>
  </si>
  <si>
    <t>Arduino IDE / C++</t>
  </si>
  <si>
    <t>Python / Node.js</t>
  </si>
  <si>
    <t>Python + OpenCV</t>
  </si>
  <si>
    <t>Leistung / Effizienz</t>
  </si>
  <si>
    <t>Bibliotheksunterstützung</t>
  </si>
  <si>
    <t>Hardware-Kompatibilität</t>
  </si>
  <si>
    <t>OS-Kompatibilität (Pi OS)</t>
  </si>
  <si>
    <t>Echtzeitfähigkeit</t>
  </si>
  <si>
    <t>Wartbarkeit / Lesbarkeit</t>
  </si>
  <si>
    <t>Skalierbarkeit / Erweiterbarkeit</t>
  </si>
  <si>
    <t>Integrationskomplexität</t>
  </si>
  <si>
    <t>Kosten / Entwicklungszeit</t>
  </si>
  <si>
    <t>Chassis</t>
  </si>
  <si>
    <t>Metall-Chassis 1:10</t>
  </si>
  <si>
    <t>3D-gedrucktes Chassis</t>
  </si>
  <si>
    <t>Holz-/Kunststoff-Basis</t>
  </si>
  <si>
    <t>Gewicht</t>
  </si>
  <si>
    <t>Fertigung / Beschaffung</t>
  </si>
  <si>
    <t>Montagefreundlichkeit</t>
  </si>
  <si>
    <t>Anpassbarkeit / Designfreiheit</t>
  </si>
  <si>
    <t>Witterungsbeständigkeit</t>
  </si>
  <si>
    <t>Schwingungsdämpfung</t>
  </si>
  <si>
    <t>Reparaturfreundlichkeit</t>
  </si>
  <si>
    <t>Ästhetik / Präsentation</t>
  </si>
  <si>
    <t>28.12.2025</t>
  </si>
  <si>
    <t>Fernsteuerung eines Modelfahrzeug</t>
  </si>
  <si>
    <t>Ausgewählte Gesamtlösung ist mit gelb markiert</t>
  </si>
  <si>
    <t>Raspberry Pi + USB-Kamera</t>
  </si>
  <si>
    <r>
      <rPr>
        <rFont val="Calibri,Arial"/>
        <b/>
        <color theme="1"/>
        <sz val="11.0"/>
      </rPr>
      <t>Beurteilung der Varianten</t>
    </r>
    <r>
      <rPr>
        <rFont val="Calibri"/>
        <b val="0"/>
        <color theme="1"/>
        <sz val="11.0"/>
      </rPr>
      <t xml:space="preserve"> </t>
    </r>
  </si>
  <si>
    <t>2x DC-Motor + L298N</t>
  </si>
  <si>
    <t>Motortreiber</t>
  </si>
  <si>
    <t>Cytron MD30C</t>
  </si>
  <si>
    <t>Pololu G2 18V25</t>
  </si>
  <si>
    <t>BTS7960</t>
  </si>
  <si>
    <t>Effektivität</t>
  </si>
  <si>
    <t>Wartung</t>
  </si>
  <si>
    <t>Anpassbarkeit</t>
  </si>
  <si>
    <t>Beleuchtungssystemensteurung</t>
  </si>
  <si>
    <t xml:space="preserve">Lichtsensorsteurung </t>
  </si>
  <si>
    <t>Manuelle schalter</t>
  </si>
  <si>
    <t>Periodisch durch Zeitschaltuhr</t>
  </si>
  <si>
    <t>Energieeffizient</t>
  </si>
  <si>
    <t>Automatisiert/Smart</t>
  </si>
  <si>
    <t xml:space="preserve">Lebensdauer </t>
  </si>
  <si>
    <t>Präzision</t>
  </si>
  <si>
    <t xml:space="preserve"> Beleuchtungart </t>
  </si>
  <si>
    <t>Glühlampe</t>
  </si>
  <si>
    <t xml:space="preserve">LEDs </t>
  </si>
  <si>
    <t>Gasentladungslampen</t>
  </si>
  <si>
    <t>Lichtqualität</t>
  </si>
  <si>
    <t>Lebensdauer</t>
  </si>
  <si>
    <t>Nachhaltigkeit</t>
  </si>
  <si>
    <r>
      <rPr>
        <rFont val="Calibri,Arial"/>
        <b/>
        <color theme="1"/>
        <sz val="11.0"/>
      </rPr>
      <t>Beurteilung der Varianten</t>
    </r>
    <r>
      <rPr>
        <rFont val="Calibri"/>
        <b val="0"/>
        <color theme="1"/>
        <sz val="11.0"/>
      </rPr>
      <t xml:space="preserve"> </t>
    </r>
  </si>
  <si>
    <t>Achsenlenkung</t>
  </si>
  <si>
    <t>Zuverlässikeit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</si>
</sst>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\ %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sz val="13.0"/>
      <color theme="1"/>
      <name val="Calibri"/>
    </font>
    <font>
      <sz val="13.0"/>
      <color theme="1"/>
      <name val="Calibri"/>
    </font>
    <font>
      <i/>
      <sz val="13.0"/>
      <color theme="1"/>
      <name val="Calibri"/>
    </font>
    <font>
      <b/>
      <sz val="15.0"/>
      <color theme="1"/>
      <name val="Calibri"/>
    </font>
    <font>
      <color theme="1"/>
      <name val="Calibri"/>
      <scheme val="minor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shrinkToFit="0" textRotation="90" wrapText="1"/>
    </xf>
    <xf borderId="2" fillId="0" fontId="3" numFmtId="0" xfId="0" applyBorder="1" applyFont="1"/>
    <xf borderId="3" fillId="0" fontId="2" numFmtId="0" xfId="0" applyAlignment="1" applyBorder="1" applyFont="1">
      <alignment horizontal="left" shrinkToFit="0" vertical="center" wrapText="1"/>
    </xf>
    <xf borderId="3" fillId="0" fontId="2" numFmtId="0" xfId="0" applyAlignment="1" applyBorder="1" applyFont="1">
      <alignment horizontal="center" shrinkToFit="0" textRotation="90" vertical="center" wrapText="1"/>
    </xf>
    <xf borderId="4" fillId="0" fontId="2" numFmtId="0" xfId="0" applyAlignment="1" applyBorder="1" applyFont="1">
      <alignment horizontal="center" shrinkToFit="0" textRotation="9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2" numFmtId="0" xfId="0" applyAlignment="1" applyBorder="1" applyFont="1">
      <alignment shrinkToFit="0" vertical="center" wrapText="1"/>
    </xf>
    <xf borderId="9" fillId="0" fontId="3" numFmtId="0" xfId="0" applyBorder="1" applyFont="1"/>
    <xf borderId="8" fillId="0" fontId="1" numFmtId="0" xfId="0" applyAlignment="1" applyBorder="1" applyFont="1">
      <alignment horizontal="left" shrinkToFit="0" vertical="top" wrapText="1"/>
    </xf>
    <xf borderId="8" fillId="2" fontId="1" numFmtId="1" xfId="0" applyAlignment="1" applyBorder="1" applyFill="1" applyFont="1" applyNumberFormat="1">
      <alignment horizontal="center" vertical="center"/>
    </xf>
    <xf borderId="8" fillId="0" fontId="1" numFmtId="9" xfId="0" applyAlignment="1" applyBorder="1" applyFont="1" applyNumberFormat="1">
      <alignment horizontal="center" vertical="center"/>
    </xf>
    <xf borderId="8" fillId="2" fontId="1" numFmtId="0" xfId="0" applyAlignment="1" applyBorder="1" applyFont="1">
      <alignment horizontal="center" vertical="center"/>
    </xf>
    <xf borderId="8" fillId="0" fontId="1" numFmtId="2" xfId="0" applyAlignment="1" applyBorder="1" applyFont="1" applyNumberFormat="1">
      <alignment horizontal="center" vertical="center"/>
    </xf>
    <xf borderId="8" fillId="0" fontId="1" numFmtId="49" xfId="0" applyAlignment="1" applyBorder="1" applyFont="1" applyNumberFormat="1">
      <alignment shrinkToFit="0" vertical="center" wrapText="1"/>
    </xf>
    <xf borderId="8" fillId="0" fontId="2" numFmtId="1" xfId="0" applyAlignment="1" applyBorder="1" applyFont="1" applyNumberFormat="1">
      <alignment horizontal="center" vertical="center"/>
    </xf>
    <xf borderId="8" fillId="0" fontId="2" numFmtId="9" xfId="0" applyAlignment="1" applyBorder="1" applyFont="1" applyNumberForma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right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8" fillId="3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readingOrder="0" vertical="center"/>
    </xf>
    <xf borderId="8" fillId="4" fontId="1" numFmtId="0" xfId="0" applyAlignment="1" applyBorder="1" applyFill="1" applyFont="1">
      <alignment horizontal="center" vertical="center"/>
    </xf>
    <xf borderId="10" fillId="4" fontId="2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center" readingOrder="0" vertical="center"/>
    </xf>
    <xf borderId="1" fillId="5" fontId="1" numFmtId="0" xfId="0" applyAlignment="1" applyBorder="1" applyFill="1" applyFont="1">
      <alignment horizontal="center" readingOrder="0" vertical="center"/>
    </xf>
    <xf borderId="11" fillId="5" fontId="1" numFmtId="0" xfId="0" applyAlignment="1" applyBorder="1" applyFont="1">
      <alignment horizontal="center" readingOrder="0" vertical="center"/>
    </xf>
    <xf borderId="12" fillId="0" fontId="3" numFmtId="0" xfId="0" applyBorder="1" applyFont="1"/>
    <xf borderId="5" fillId="0" fontId="2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center" shrinkToFit="0" textRotation="90" vertical="center" wrapText="1"/>
    </xf>
    <xf borderId="13" fillId="0" fontId="3" numFmtId="0" xfId="0" applyBorder="1" applyFont="1"/>
    <xf borderId="7" fillId="0" fontId="2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readingOrder="0"/>
    </xf>
    <xf borderId="12" fillId="2" fontId="1" numFmtId="1" xfId="0" applyAlignment="1" applyBorder="1" applyFont="1" applyNumberFormat="1">
      <alignment horizontal="center" readingOrder="0" vertical="center"/>
    </xf>
    <xf borderId="12" fillId="0" fontId="1" numFmtId="9" xfId="0" applyAlignment="1" applyBorder="1" applyFont="1" applyNumberFormat="1">
      <alignment horizontal="center" vertical="center"/>
    </xf>
    <xf borderId="12" fillId="2" fontId="1" numFmtId="0" xfId="0" applyAlignment="1" applyBorder="1" applyFont="1">
      <alignment horizontal="center" readingOrder="0" vertical="center"/>
    </xf>
    <xf borderId="12" fillId="0" fontId="1" numFmtId="2" xfId="0" applyAlignment="1" applyBorder="1" applyFont="1" applyNumberFormat="1">
      <alignment horizontal="center" vertical="center"/>
    </xf>
    <xf borderId="7" fillId="0" fontId="1" numFmtId="49" xfId="0" applyAlignment="1" applyBorder="1" applyFont="1" applyNumberFormat="1">
      <alignment horizontal="center" shrinkToFit="0" vertical="center" wrapText="1"/>
    </xf>
    <xf borderId="12" fillId="0" fontId="2" numFmtId="1" xfId="0" applyAlignment="1" applyBorder="1" applyFont="1" applyNumberFormat="1">
      <alignment horizontal="center" vertical="center"/>
    </xf>
    <xf borderId="12" fillId="0" fontId="2" numFmtId="9" xfId="0" applyAlignment="1" applyBorder="1" applyFont="1" applyNumberFormat="1">
      <alignment horizontal="center" vertical="center"/>
    </xf>
    <xf borderId="11" fillId="0" fontId="2" numFmtId="164" xfId="0" applyAlignment="1" applyBorder="1" applyFont="1" applyNumberFormat="1">
      <alignment horizontal="center" vertical="center"/>
    </xf>
    <xf borderId="11" fillId="3" fontId="2" numFmtId="164" xfId="0" applyAlignment="1" applyBorder="1" applyFont="1" applyNumberFormat="1">
      <alignment horizontal="center" vertical="center"/>
    </xf>
    <xf borderId="7" fillId="0" fontId="1" numFmtId="0" xfId="0" applyAlignment="1" applyBorder="1" applyFont="1">
      <alignment horizontal="center" readingOrder="0" shrinkToFit="0" vertical="center" wrapText="1"/>
    </xf>
    <xf borderId="11" fillId="6" fontId="2" numFmtId="164" xfId="0" applyAlignment="1" applyBorder="1" applyFill="1" applyFont="1" applyNumberFormat="1">
      <alignment horizontal="center" vertical="center"/>
    </xf>
    <xf borderId="0" fillId="0" fontId="8" numFmtId="49" xfId="0" applyAlignment="1" applyFont="1" applyNumberFormat="1">
      <alignment horizontal="center" readingOrder="0"/>
    </xf>
    <xf borderId="12" fillId="2" fontId="1" numFmtId="1" xfId="0" applyAlignment="1" applyBorder="1" applyFont="1" applyNumberFormat="1">
      <alignment horizontal="center" readingOrder="0"/>
    </xf>
    <xf borderId="12" fillId="0" fontId="1" numFmtId="9" xfId="0" applyAlignment="1" applyBorder="1" applyFont="1" applyNumberFormat="1">
      <alignment horizontal="center"/>
    </xf>
    <xf borderId="12" fillId="2" fontId="1" numFmtId="0" xfId="0" applyAlignment="1" applyBorder="1" applyFont="1">
      <alignment horizontal="center" readingOrder="0"/>
    </xf>
    <xf borderId="12" fillId="0" fontId="1" numFmtId="2" xfId="0" applyAlignment="1" applyBorder="1" applyFont="1" applyNumberFormat="1">
      <alignment horizontal="center"/>
    </xf>
    <xf borderId="0" fillId="0" fontId="1" numFmtId="0" xfId="0" applyAlignment="1" applyFont="1">
      <alignment vertical="bottom"/>
    </xf>
    <xf borderId="0" fillId="0" fontId="8" numFmtId="0" xfId="0" applyAlignment="1" applyFont="1">
      <alignment readingOrder="0"/>
    </xf>
    <xf borderId="11" fillId="3" fontId="9" numFmtId="164" xfId="0" applyAlignment="1" applyBorder="1" applyFont="1" applyNumberFormat="1">
      <alignment horizontal="center" vertical="center"/>
    </xf>
    <xf borderId="12" fillId="2" fontId="1" numFmtId="0" xfId="0" applyAlignment="1" applyBorder="1" applyFont="1">
      <alignment horizontal="center"/>
    </xf>
    <xf borderId="12" fillId="2" fontId="1" numFmtId="1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1.0" ySplit="1.0" topLeftCell="V2" activePane="bottomRight" state="frozen"/>
      <selection activeCell="V1" sqref="V1" pane="topRight"/>
      <selection activeCell="A2" sqref="A2" pane="bottomLeft"/>
      <selection activeCell="V2" sqref="V2" pane="bottomRight"/>
    </sheetView>
  </sheetViews>
  <sheetFormatPr customHeight="1" defaultColWidth="14.43" defaultRowHeight="15.0"/>
  <cols>
    <col customWidth="1" min="1" max="1" width="26.86"/>
    <col customWidth="1" min="2" max="2" width="5.29"/>
    <col customWidth="1" min="3" max="3" width="9.57"/>
    <col customWidth="1" min="4" max="4" width="5.57"/>
    <col customWidth="1" min="5" max="5" width="6.29"/>
    <col customWidth="1" min="6" max="7" width="6.43"/>
    <col customWidth="1" min="8" max="8" width="6.57"/>
    <col customWidth="1" min="9" max="13" width="6.43"/>
    <col customWidth="1" min="14" max="15" width="5.43"/>
    <col customWidth="1" min="16" max="17" width="6.86"/>
    <col customWidth="1" min="18" max="26" width="11.43"/>
  </cols>
  <sheetData>
    <row r="1" ht="57.75" customHeight="1">
      <c r="A1" s="1"/>
      <c r="B1" s="2" t="s">
        <v>0</v>
      </c>
      <c r="C1" s="3"/>
      <c r="D1" s="2" t="s">
        <v>1</v>
      </c>
      <c r="E1" s="3"/>
      <c r="F1" s="2" t="s">
        <v>2</v>
      </c>
      <c r="G1" s="3"/>
      <c r="H1" s="2" t="s">
        <v>3</v>
      </c>
      <c r="I1" s="3"/>
      <c r="J1" s="2" t="s">
        <v>4</v>
      </c>
      <c r="K1" s="3"/>
      <c r="L1" s="2" t="s">
        <v>5</v>
      </c>
      <c r="M1" s="3"/>
      <c r="N1" s="2" t="s">
        <v>6</v>
      </c>
      <c r="O1" s="3"/>
      <c r="P1" s="2" t="s">
        <v>7</v>
      </c>
      <c r="Q1" s="3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4" t="s">
        <v>8</v>
      </c>
      <c r="B2" s="5" t="s">
        <v>9</v>
      </c>
      <c r="C2" s="5" t="s">
        <v>10</v>
      </c>
      <c r="D2" s="5" t="s">
        <v>11</v>
      </c>
      <c r="E2" s="6" t="s">
        <v>12</v>
      </c>
      <c r="F2" s="5" t="s">
        <v>11</v>
      </c>
      <c r="G2" s="6" t="s">
        <v>12</v>
      </c>
      <c r="H2" s="5" t="s">
        <v>11</v>
      </c>
      <c r="I2" s="6" t="s">
        <v>12</v>
      </c>
      <c r="J2" s="5" t="s">
        <v>11</v>
      </c>
      <c r="K2" s="6" t="s">
        <v>12</v>
      </c>
      <c r="L2" s="5" t="s">
        <v>11</v>
      </c>
      <c r="M2" s="6" t="s">
        <v>12</v>
      </c>
      <c r="N2" s="5" t="s">
        <v>11</v>
      </c>
      <c r="O2" s="6" t="s">
        <v>12</v>
      </c>
      <c r="P2" s="5" t="s">
        <v>11</v>
      </c>
      <c r="Q2" s="5" t="s">
        <v>12</v>
      </c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7"/>
      <c r="B3" s="7"/>
      <c r="C3" s="7"/>
      <c r="D3" s="7"/>
      <c r="E3" s="8"/>
      <c r="F3" s="7"/>
      <c r="G3" s="8"/>
      <c r="H3" s="7"/>
      <c r="I3" s="8"/>
      <c r="J3" s="7"/>
      <c r="K3" s="8"/>
      <c r="L3" s="7"/>
      <c r="M3" s="8"/>
      <c r="N3" s="7"/>
      <c r="O3" s="8"/>
      <c r="P3" s="7"/>
      <c r="Q3" s="7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7"/>
      <c r="B4" s="7"/>
      <c r="C4" s="7"/>
      <c r="D4" s="7"/>
      <c r="E4" s="8"/>
      <c r="F4" s="7"/>
      <c r="G4" s="8"/>
      <c r="H4" s="7"/>
      <c r="I4" s="8"/>
      <c r="J4" s="7"/>
      <c r="K4" s="8"/>
      <c r="L4" s="7"/>
      <c r="M4" s="8"/>
      <c r="N4" s="7"/>
      <c r="O4" s="8"/>
      <c r="P4" s="7"/>
      <c r="Q4" s="7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9"/>
      <c r="B5" s="7"/>
      <c r="C5" s="7"/>
      <c r="D5" s="7"/>
      <c r="E5" s="8"/>
      <c r="F5" s="7"/>
      <c r="G5" s="8"/>
      <c r="H5" s="7"/>
      <c r="I5" s="8"/>
      <c r="J5" s="7"/>
      <c r="K5" s="8"/>
      <c r="L5" s="7"/>
      <c r="M5" s="8"/>
      <c r="N5" s="7"/>
      <c r="O5" s="8"/>
      <c r="P5" s="7"/>
      <c r="Q5" s="7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0" t="s">
        <v>13</v>
      </c>
      <c r="B6" s="9"/>
      <c r="C6" s="9"/>
      <c r="D6" s="9"/>
      <c r="E6" s="11"/>
      <c r="F6" s="9"/>
      <c r="G6" s="11"/>
      <c r="H6" s="9"/>
      <c r="I6" s="11"/>
      <c r="J6" s="9"/>
      <c r="K6" s="11"/>
      <c r="L6" s="9"/>
      <c r="M6" s="11"/>
      <c r="N6" s="9"/>
      <c r="O6" s="11"/>
      <c r="P6" s="9"/>
      <c r="Q6" s="9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2" t="s">
        <v>14</v>
      </c>
      <c r="B7" s="13">
        <v>5.0</v>
      </c>
      <c r="C7" s="14">
        <f t="shared" ref="C7:C10" si="1">B7/$B$12</f>
        <v>0.2941176471</v>
      </c>
      <c r="D7" s="15">
        <v>90.0</v>
      </c>
      <c r="E7" s="16">
        <f>D7*$C$7</f>
        <v>26.47058824</v>
      </c>
      <c r="F7" s="15"/>
      <c r="G7" s="16">
        <f>F7*$C$7</f>
        <v>0</v>
      </c>
      <c r="H7" s="15"/>
      <c r="I7" s="16">
        <f>H7*$C$7</f>
        <v>0</v>
      </c>
      <c r="J7" s="15"/>
      <c r="K7" s="16">
        <f>J7*$C$7</f>
        <v>0</v>
      </c>
      <c r="L7" s="15"/>
      <c r="M7" s="16">
        <f>L7*$C$7</f>
        <v>0</v>
      </c>
      <c r="N7" s="15"/>
      <c r="O7" s="16">
        <f>N7*$C$7</f>
        <v>0</v>
      </c>
      <c r="P7" s="15"/>
      <c r="Q7" s="16">
        <f>P7*$C$7</f>
        <v>0</v>
      </c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2" t="s">
        <v>15</v>
      </c>
      <c r="B8" s="13">
        <v>3.0</v>
      </c>
      <c r="C8" s="14">
        <f t="shared" si="1"/>
        <v>0.1764705882</v>
      </c>
      <c r="D8" s="15">
        <v>80.0</v>
      </c>
      <c r="E8" s="16">
        <f>C8*$D$8</f>
        <v>14.11764706</v>
      </c>
      <c r="F8" s="15"/>
      <c r="G8" s="16">
        <f>F8*$C$8</f>
        <v>0</v>
      </c>
      <c r="H8" s="15"/>
      <c r="I8" s="16">
        <f>H8*$C$8</f>
        <v>0</v>
      </c>
      <c r="J8" s="15"/>
      <c r="K8" s="16">
        <f>J8*$C$8</f>
        <v>0</v>
      </c>
      <c r="L8" s="15"/>
      <c r="M8" s="16">
        <f>L8*$C$8</f>
        <v>0</v>
      </c>
      <c r="N8" s="15"/>
      <c r="O8" s="16">
        <f>N8*$C$8</f>
        <v>0</v>
      </c>
      <c r="P8" s="15"/>
      <c r="Q8" s="16">
        <f>P8*$C$8</f>
        <v>0</v>
      </c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2" t="s">
        <v>16</v>
      </c>
      <c r="B9" s="13">
        <v>4.0</v>
      </c>
      <c r="C9" s="14">
        <f t="shared" si="1"/>
        <v>0.2352941176</v>
      </c>
      <c r="D9" s="15"/>
      <c r="E9" s="16">
        <f>C9*$D$9</f>
        <v>0</v>
      </c>
      <c r="F9" s="15"/>
      <c r="G9" s="16">
        <f>F9*$C$9</f>
        <v>0</v>
      </c>
      <c r="H9" s="15"/>
      <c r="I9" s="16">
        <f>H9*$C$9</f>
        <v>0</v>
      </c>
      <c r="J9" s="15"/>
      <c r="K9" s="16">
        <f>J9*$C$9</f>
        <v>0</v>
      </c>
      <c r="L9" s="15"/>
      <c r="M9" s="16">
        <f>L9*$C$9</f>
        <v>0</v>
      </c>
      <c r="N9" s="15"/>
      <c r="O9" s="16">
        <f>N9*$C$9</f>
        <v>0</v>
      </c>
      <c r="P9" s="15"/>
      <c r="Q9" s="16">
        <f>P9*$C$9</f>
        <v>0</v>
      </c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2" t="s">
        <v>17</v>
      </c>
      <c r="B10" s="13">
        <v>5.0</v>
      </c>
      <c r="C10" s="14">
        <f t="shared" si="1"/>
        <v>0.2941176471</v>
      </c>
      <c r="D10" s="15">
        <v>80.0</v>
      </c>
      <c r="E10" s="16">
        <f>C10*$D$10</f>
        <v>23.52941176</v>
      </c>
      <c r="F10" s="15"/>
      <c r="G10" s="16">
        <f>F10*$C$10</f>
        <v>0</v>
      </c>
      <c r="H10" s="15"/>
      <c r="I10" s="16">
        <f>H10*$C$10</f>
        <v>0</v>
      </c>
      <c r="J10" s="15"/>
      <c r="K10" s="16">
        <f>J10*$C$10</f>
        <v>0</v>
      </c>
      <c r="L10" s="15"/>
      <c r="M10" s="16">
        <f>L10*$C$10</f>
        <v>0</v>
      </c>
      <c r="N10" s="15"/>
      <c r="O10" s="16">
        <f>N10*$C$10</f>
        <v>0</v>
      </c>
      <c r="P10" s="15"/>
      <c r="Q10" s="16">
        <f>P10*$C$10</f>
        <v>0</v>
      </c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2"/>
      <c r="B11" s="13"/>
      <c r="C11" s="14"/>
      <c r="D11" s="15"/>
      <c r="E11" s="16"/>
      <c r="F11" s="15"/>
      <c r="G11" s="16"/>
      <c r="H11" s="15"/>
      <c r="I11" s="16"/>
      <c r="J11" s="15"/>
      <c r="K11" s="16"/>
      <c r="L11" s="15"/>
      <c r="M11" s="16"/>
      <c r="N11" s="15"/>
      <c r="O11" s="16"/>
      <c r="P11" s="15"/>
      <c r="Q11" s="16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7" t="s">
        <v>18</v>
      </c>
      <c r="B12" s="18">
        <f t="shared" ref="B12:C12" si="2">SUM(B7:B10)</f>
        <v>17</v>
      </c>
      <c r="C12" s="19">
        <f t="shared" si="2"/>
        <v>1</v>
      </c>
      <c r="D12" s="20">
        <f>SUM(E7:E10)/100</f>
        <v>0.6411764706</v>
      </c>
      <c r="E12" s="3"/>
      <c r="F12" s="20">
        <f>SUM(G7:G10)/100</f>
        <v>0</v>
      </c>
      <c r="G12" s="3"/>
      <c r="H12" s="20">
        <f>SUM(I7:I10)/100</f>
        <v>0</v>
      </c>
      <c r="I12" s="3"/>
      <c r="J12" s="20">
        <f>SUM(K7:K10)/100</f>
        <v>0</v>
      </c>
      <c r="K12" s="3"/>
      <c r="L12" s="20">
        <f>SUM(M7:M10)/100</f>
        <v>0</v>
      </c>
      <c r="M12" s="3"/>
      <c r="N12" s="20">
        <f>SUM(O7:O10)/100</f>
        <v>0</v>
      </c>
      <c r="O12" s="3"/>
      <c r="P12" s="20">
        <f>SUM(Q7:Q10)/100</f>
        <v>0</v>
      </c>
      <c r="Q12" s="3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2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 t="s">
        <v>12</v>
      </c>
      <c r="B14" s="1" t="s">
        <v>19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5"/>
      <c r="B15" s="1" t="s">
        <v>20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2">
    <mergeCell ref="D1:E1"/>
    <mergeCell ref="F1:G1"/>
    <mergeCell ref="H1:I1"/>
    <mergeCell ref="J1:K1"/>
    <mergeCell ref="L1:M1"/>
    <mergeCell ref="N1:O1"/>
    <mergeCell ref="P1:Q1"/>
    <mergeCell ref="N2:N6"/>
    <mergeCell ref="O2:O6"/>
    <mergeCell ref="P2:P6"/>
    <mergeCell ref="Q2:Q6"/>
    <mergeCell ref="G2:G6"/>
    <mergeCell ref="H2:H6"/>
    <mergeCell ref="I2:I6"/>
    <mergeCell ref="J2:J6"/>
    <mergeCell ref="K2:K6"/>
    <mergeCell ref="L2:L6"/>
    <mergeCell ref="M2:M6"/>
    <mergeCell ref="D12:E12"/>
    <mergeCell ref="F12:G12"/>
    <mergeCell ref="H12:I12"/>
    <mergeCell ref="J12:K12"/>
    <mergeCell ref="L12:M12"/>
    <mergeCell ref="N12:O12"/>
    <mergeCell ref="P12:Q12"/>
    <mergeCell ref="B1:C1"/>
    <mergeCell ref="A2:A5"/>
    <mergeCell ref="B2:B6"/>
    <mergeCell ref="C2:C6"/>
    <mergeCell ref="D2:D6"/>
    <mergeCell ref="E2:E6"/>
    <mergeCell ref="F2:F6"/>
  </mergeCells>
  <printOptions horizontalCentered="1" verticalCentered="1"/>
  <pageMargins bottom="0.7874015748031497" footer="0.0" header="0.0" left="0.7086614173228347" right="0.7086614173228347" top="0.7874015748031497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18.86"/>
    <col customWidth="1" min="7" max="7" width="16.29"/>
  </cols>
  <sheetData>
    <row r="1">
      <c r="A1" s="22" t="s">
        <v>21</v>
      </c>
      <c r="B1" s="23" t="s">
        <v>22</v>
      </c>
      <c r="C1" s="24"/>
      <c r="D1" s="24"/>
      <c r="E1" s="1" t="s">
        <v>12</v>
      </c>
      <c r="F1" s="1" t="s">
        <v>19</v>
      </c>
      <c r="G1" s="24"/>
      <c r="H1" s="24"/>
      <c r="I1" s="24"/>
    </row>
    <row r="2">
      <c r="A2" s="22" t="s">
        <v>23</v>
      </c>
      <c r="B2" s="23" t="s">
        <v>24</v>
      </c>
      <c r="C2" s="24"/>
      <c r="D2" s="24"/>
      <c r="E2" s="15"/>
      <c r="F2" s="1" t="s">
        <v>20</v>
      </c>
      <c r="G2" s="24"/>
      <c r="H2" s="24"/>
      <c r="I2" s="24"/>
    </row>
    <row r="3">
      <c r="A3" s="22" t="s">
        <v>25</v>
      </c>
      <c r="B3" s="23" t="s">
        <v>26</v>
      </c>
      <c r="C3" s="25"/>
      <c r="D3" s="24"/>
      <c r="E3" s="26"/>
      <c r="F3" s="27" t="s">
        <v>27</v>
      </c>
      <c r="G3" s="24"/>
      <c r="H3" s="24"/>
      <c r="I3" s="24"/>
    </row>
    <row r="4">
      <c r="A4" s="22"/>
      <c r="B4" s="23"/>
      <c r="C4" s="24"/>
      <c r="D4" s="24"/>
      <c r="E4" s="24"/>
      <c r="F4" s="24"/>
      <c r="G4" s="24"/>
      <c r="H4" s="24"/>
      <c r="I4" s="24"/>
    </row>
    <row r="5">
      <c r="A5" s="28"/>
      <c r="B5" s="29" t="s">
        <v>0</v>
      </c>
      <c r="C5" s="3"/>
      <c r="D5" s="29" t="s">
        <v>1</v>
      </c>
      <c r="E5" s="3"/>
      <c r="F5" s="29" t="s">
        <v>2</v>
      </c>
      <c r="G5" s="3"/>
      <c r="H5" s="29" t="s">
        <v>3</v>
      </c>
      <c r="I5" s="3"/>
    </row>
    <row r="6" ht="44.25" customHeight="1">
      <c r="A6" s="30">
        <v>1.0</v>
      </c>
      <c r="B6" s="31" t="s">
        <v>28</v>
      </c>
      <c r="C6" s="3"/>
      <c r="D6" s="32" t="s">
        <v>29</v>
      </c>
      <c r="E6" s="33"/>
      <c r="F6" s="32" t="s">
        <v>30</v>
      </c>
      <c r="G6" s="33"/>
      <c r="H6" s="32" t="s">
        <v>31</v>
      </c>
      <c r="I6" s="33"/>
    </row>
    <row r="7">
      <c r="A7" s="34" t="s">
        <v>32</v>
      </c>
      <c r="B7" s="35" t="s">
        <v>9</v>
      </c>
      <c r="C7" s="35" t="s">
        <v>10</v>
      </c>
      <c r="D7" s="35" t="s">
        <v>11</v>
      </c>
      <c r="E7" s="35" t="s">
        <v>12</v>
      </c>
      <c r="F7" s="35" t="s">
        <v>11</v>
      </c>
      <c r="G7" s="35" t="s">
        <v>12</v>
      </c>
      <c r="H7" s="35" t="s">
        <v>11</v>
      </c>
      <c r="I7" s="35" t="s">
        <v>12</v>
      </c>
    </row>
    <row r="8">
      <c r="A8" s="7"/>
      <c r="B8" s="36"/>
      <c r="C8" s="36"/>
      <c r="D8" s="36"/>
      <c r="E8" s="36"/>
      <c r="F8" s="36"/>
      <c r="G8" s="36"/>
      <c r="H8" s="36"/>
      <c r="I8" s="36"/>
    </row>
    <row r="9">
      <c r="A9" s="7"/>
      <c r="B9" s="36"/>
      <c r="C9" s="36"/>
      <c r="D9" s="36"/>
      <c r="E9" s="36"/>
      <c r="F9" s="36"/>
      <c r="G9" s="36"/>
      <c r="H9" s="36"/>
      <c r="I9" s="36"/>
    </row>
    <row r="10">
      <c r="A10" s="9"/>
      <c r="B10" s="36"/>
      <c r="C10" s="36"/>
      <c r="D10" s="36"/>
      <c r="E10" s="36"/>
      <c r="F10" s="36"/>
      <c r="G10" s="36"/>
      <c r="H10" s="36"/>
      <c r="I10" s="36"/>
    </row>
    <row r="11">
      <c r="A11" s="37" t="s">
        <v>13</v>
      </c>
      <c r="B11" s="33"/>
      <c r="C11" s="33"/>
      <c r="D11" s="33"/>
      <c r="E11" s="33"/>
      <c r="F11" s="33"/>
      <c r="G11" s="33"/>
      <c r="H11" s="33"/>
      <c r="I11" s="33"/>
    </row>
    <row r="12">
      <c r="A12" s="38" t="s">
        <v>33</v>
      </c>
      <c r="B12" s="39">
        <v>2.0</v>
      </c>
      <c r="C12" s="40">
        <f t="shared" ref="C12:C20" si="1">B12/$B$21</f>
        <v>0.06666666667</v>
      </c>
      <c r="D12" s="41">
        <v>80.0</v>
      </c>
      <c r="E12" s="42">
        <f>D12*$C$12</f>
        <v>5.333333333</v>
      </c>
      <c r="F12" s="41">
        <v>85.0</v>
      </c>
      <c r="G12" s="42">
        <f>F12*$C$12</f>
        <v>5.666666667</v>
      </c>
      <c r="H12" s="41">
        <v>60.0</v>
      </c>
      <c r="I12" s="42">
        <f>H12*$C$12</f>
        <v>4</v>
      </c>
    </row>
    <row r="13">
      <c r="A13" s="38" t="s">
        <v>34</v>
      </c>
      <c r="B13" s="39">
        <v>4.0</v>
      </c>
      <c r="C13" s="40">
        <f t="shared" si="1"/>
        <v>0.1333333333</v>
      </c>
      <c r="D13" s="41">
        <v>70.0</v>
      </c>
      <c r="E13" s="42">
        <f>D13*$C$13</f>
        <v>9.333333333</v>
      </c>
      <c r="F13" s="41">
        <v>90.0</v>
      </c>
      <c r="G13" s="42">
        <f>F13*$C$13</f>
        <v>12</v>
      </c>
      <c r="H13" s="41">
        <v>60.0</v>
      </c>
      <c r="I13" s="42">
        <f>H13*$C$13</f>
        <v>8</v>
      </c>
    </row>
    <row r="14" ht="15.0" customHeight="1">
      <c r="A14" s="38" t="s">
        <v>35</v>
      </c>
      <c r="B14" s="39">
        <v>5.0</v>
      </c>
      <c r="C14" s="40">
        <f t="shared" si="1"/>
        <v>0.1666666667</v>
      </c>
      <c r="D14" s="41">
        <v>75.0</v>
      </c>
      <c r="E14" s="42">
        <f>D14*$C$14</f>
        <v>12.5</v>
      </c>
      <c r="F14" s="41">
        <v>90.0</v>
      </c>
      <c r="G14" s="42">
        <f>F14*$C$14</f>
        <v>15</v>
      </c>
      <c r="H14" s="41">
        <v>95.0</v>
      </c>
      <c r="I14" s="42">
        <f>H14*$C$14</f>
        <v>15.83333333</v>
      </c>
    </row>
    <row r="15">
      <c r="A15" s="38" t="s">
        <v>36</v>
      </c>
      <c r="B15" s="39">
        <v>4.0</v>
      </c>
      <c r="C15" s="40">
        <f t="shared" si="1"/>
        <v>0.1333333333</v>
      </c>
      <c r="D15" s="41">
        <v>70.0</v>
      </c>
      <c r="E15" s="42">
        <f>D15*$C$15</f>
        <v>9.333333333</v>
      </c>
      <c r="F15" s="41">
        <v>85.0</v>
      </c>
      <c r="G15" s="42">
        <f>F15*$C$15</f>
        <v>11.33333333</v>
      </c>
      <c r="H15" s="41">
        <v>60.0</v>
      </c>
      <c r="I15" s="42">
        <f>H15*$C$15</f>
        <v>8</v>
      </c>
    </row>
    <row r="16">
      <c r="A16" s="38" t="s">
        <v>37</v>
      </c>
      <c r="B16" s="39">
        <v>4.0</v>
      </c>
      <c r="C16" s="40">
        <f t="shared" si="1"/>
        <v>0.1333333333</v>
      </c>
      <c r="D16" s="41">
        <v>85.0</v>
      </c>
      <c r="E16" s="42">
        <f>D16*$C$16</f>
        <v>11.33333333</v>
      </c>
      <c r="F16" s="41">
        <v>90.0</v>
      </c>
      <c r="G16" s="42">
        <f>F16*$C$16</f>
        <v>12</v>
      </c>
      <c r="H16" s="41">
        <v>80.0</v>
      </c>
      <c r="I16" s="42">
        <f>H16*$C$16</f>
        <v>10.66666667</v>
      </c>
    </row>
    <row r="17">
      <c r="A17" s="38" t="s">
        <v>38</v>
      </c>
      <c r="B17" s="39">
        <v>4.0</v>
      </c>
      <c r="C17" s="40">
        <f t="shared" si="1"/>
        <v>0.1333333333</v>
      </c>
      <c r="D17" s="41">
        <v>70.0</v>
      </c>
      <c r="E17" s="42">
        <f>D17*$C$17</f>
        <v>9.333333333</v>
      </c>
      <c r="F17" s="41">
        <v>80.0</v>
      </c>
      <c r="G17" s="42">
        <f>F17*$C$17</f>
        <v>10.66666667</v>
      </c>
      <c r="H17" s="41">
        <v>60.0</v>
      </c>
      <c r="I17" s="42">
        <f>H17*$C$17</f>
        <v>8</v>
      </c>
    </row>
    <row r="18">
      <c r="A18" s="38" t="s">
        <v>39</v>
      </c>
      <c r="B18" s="39">
        <v>3.0</v>
      </c>
      <c r="C18" s="40">
        <f t="shared" si="1"/>
        <v>0.1</v>
      </c>
      <c r="D18" s="41">
        <v>85.0</v>
      </c>
      <c r="E18" s="42">
        <f>D18*$C$18</f>
        <v>8.5</v>
      </c>
      <c r="F18" s="41">
        <v>85.0</v>
      </c>
      <c r="G18" s="42">
        <f>F18*$C$18</f>
        <v>8.5</v>
      </c>
      <c r="H18" s="41">
        <v>70.0</v>
      </c>
      <c r="I18" s="42">
        <f>H18*$C$18</f>
        <v>7</v>
      </c>
    </row>
    <row r="19">
      <c r="A19" s="38" t="s">
        <v>40</v>
      </c>
      <c r="B19" s="39">
        <v>2.0</v>
      </c>
      <c r="C19" s="40">
        <f t="shared" si="1"/>
        <v>0.06666666667</v>
      </c>
      <c r="D19" s="41">
        <v>80.0</v>
      </c>
      <c r="E19" s="42">
        <f>D19*$C$19</f>
        <v>5.333333333</v>
      </c>
      <c r="F19" s="41">
        <v>90.0</v>
      </c>
      <c r="G19" s="42">
        <f>F19*$C$19</f>
        <v>6</v>
      </c>
      <c r="H19" s="41">
        <v>60.0</v>
      </c>
      <c r="I19" s="42">
        <f>H19*$C$19</f>
        <v>4</v>
      </c>
    </row>
    <row r="20">
      <c r="A20" s="38" t="s">
        <v>41</v>
      </c>
      <c r="B20" s="39">
        <v>2.0</v>
      </c>
      <c r="C20" s="40">
        <f t="shared" si="1"/>
        <v>0.06666666667</v>
      </c>
      <c r="D20" s="41">
        <v>75.0</v>
      </c>
      <c r="E20" s="42">
        <f>D20*$C$20</f>
        <v>5</v>
      </c>
      <c r="F20" s="41">
        <v>95.0</v>
      </c>
      <c r="G20" s="42">
        <f>F20*$C$20</f>
        <v>6.333333333</v>
      </c>
      <c r="H20" s="41">
        <v>50.0</v>
      </c>
      <c r="I20" s="42">
        <f>H20*$C$20</f>
        <v>3.333333333</v>
      </c>
    </row>
    <row r="21">
      <c r="A21" s="43" t="s">
        <v>18</v>
      </c>
      <c r="B21" s="44">
        <f t="shared" ref="B21:C21" si="2">SUM(B12:B20)</f>
        <v>30</v>
      </c>
      <c r="C21" s="45">
        <f t="shared" si="2"/>
        <v>1</v>
      </c>
      <c r="D21" s="46">
        <f>SUM(E12:E20)/100</f>
        <v>0.76</v>
      </c>
      <c r="E21" s="33"/>
      <c r="F21" s="47">
        <f>SUM(G12:G20)/100</f>
        <v>0.875</v>
      </c>
      <c r="G21" s="33"/>
      <c r="H21" s="46">
        <f>SUM(I12:I20)/100</f>
        <v>0.6883333333</v>
      </c>
      <c r="I21" s="33"/>
    </row>
    <row r="22" ht="39.0" customHeight="1">
      <c r="A22" s="30">
        <v>2.0</v>
      </c>
      <c r="B22" s="31" t="s">
        <v>42</v>
      </c>
      <c r="C22" s="3"/>
      <c r="D22" s="31" t="s">
        <v>43</v>
      </c>
      <c r="E22" s="3"/>
      <c r="F22" s="31" t="s">
        <v>44</v>
      </c>
      <c r="G22" s="3"/>
      <c r="H22" s="32" t="s">
        <v>45</v>
      </c>
      <c r="I22" s="33"/>
    </row>
    <row r="23">
      <c r="A23" s="48" t="s">
        <v>46</v>
      </c>
      <c r="B23" s="39">
        <v>5.0</v>
      </c>
      <c r="C23" s="40">
        <f t="shared" ref="C23:C31" si="3">B23/$B$32</f>
        <v>0.1666666667</v>
      </c>
      <c r="D23" s="41">
        <v>80.0</v>
      </c>
      <c r="E23" s="42">
        <f>D23*$C$23</f>
        <v>13.33333333</v>
      </c>
      <c r="F23" s="41">
        <v>90.0</v>
      </c>
      <c r="G23" s="42">
        <f>F23*$C$23</f>
        <v>15</v>
      </c>
      <c r="H23" s="41">
        <v>85.0</v>
      </c>
      <c r="I23" s="42">
        <f>H23*$C$23</f>
        <v>14.16666667</v>
      </c>
    </row>
    <row r="24">
      <c r="A24" s="48" t="s">
        <v>47</v>
      </c>
      <c r="B24" s="39">
        <v>3.0</v>
      </c>
      <c r="C24" s="40">
        <f t="shared" si="3"/>
        <v>0.1</v>
      </c>
      <c r="D24" s="41">
        <v>85.0</v>
      </c>
      <c r="E24" s="42">
        <f>D24*$C$24</f>
        <v>8.5</v>
      </c>
      <c r="F24" s="41">
        <v>90.0</v>
      </c>
      <c r="G24" s="42">
        <f>F24*$C$24</f>
        <v>9</v>
      </c>
      <c r="H24" s="41">
        <v>85.0</v>
      </c>
      <c r="I24" s="42">
        <f>H24*$C$24</f>
        <v>8.5</v>
      </c>
    </row>
    <row r="25">
      <c r="A25" s="38" t="s">
        <v>48</v>
      </c>
      <c r="B25" s="39">
        <v>3.0</v>
      </c>
      <c r="C25" s="40">
        <f t="shared" si="3"/>
        <v>0.1</v>
      </c>
      <c r="D25" s="41">
        <v>95.0</v>
      </c>
      <c r="E25" s="42">
        <f>D25*$C$25</f>
        <v>9.5</v>
      </c>
      <c r="F25" s="41">
        <v>70.0</v>
      </c>
      <c r="G25" s="42">
        <f>F25*$C$25</f>
        <v>7</v>
      </c>
      <c r="H25" s="41">
        <v>80.0</v>
      </c>
      <c r="I25" s="42">
        <f>H25*$C$25</f>
        <v>8</v>
      </c>
    </row>
    <row r="26">
      <c r="A26" s="38" t="s">
        <v>49</v>
      </c>
      <c r="B26" s="39">
        <v>4.0</v>
      </c>
      <c r="C26" s="40">
        <f t="shared" si="3"/>
        <v>0.1333333333</v>
      </c>
      <c r="D26" s="41">
        <v>90.0</v>
      </c>
      <c r="E26" s="42">
        <f>D26*$C$26</f>
        <v>12</v>
      </c>
      <c r="F26" s="41">
        <v>60.0</v>
      </c>
      <c r="G26" s="42">
        <f>F26*$C$26</f>
        <v>8</v>
      </c>
      <c r="H26" s="41">
        <v>95.0</v>
      </c>
      <c r="I26" s="42">
        <f>H26*$C$26</f>
        <v>12.66666667</v>
      </c>
    </row>
    <row r="27">
      <c r="A27" s="38" t="s">
        <v>50</v>
      </c>
      <c r="B27" s="39">
        <v>2.0</v>
      </c>
      <c r="C27" s="40">
        <f t="shared" si="3"/>
        <v>0.06666666667</v>
      </c>
      <c r="D27" s="41">
        <v>80.0</v>
      </c>
      <c r="E27" s="42">
        <f>D27*$C$27</f>
        <v>5.333333333</v>
      </c>
      <c r="F27" s="41">
        <v>85.0</v>
      </c>
      <c r="G27" s="42">
        <f>F27*$C$27</f>
        <v>5.666666667</v>
      </c>
      <c r="H27" s="41">
        <v>90.0</v>
      </c>
      <c r="I27" s="42">
        <f>H27*$C$27</f>
        <v>6</v>
      </c>
    </row>
    <row r="28">
      <c r="A28" s="38" t="s">
        <v>51</v>
      </c>
      <c r="B28" s="39">
        <v>2.0</v>
      </c>
      <c r="C28" s="40">
        <f t="shared" si="3"/>
        <v>0.06666666667</v>
      </c>
      <c r="D28" s="41">
        <v>75.0</v>
      </c>
      <c r="E28" s="42">
        <f>D28*$C$28</f>
        <v>5</v>
      </c>
      <c r="F28" s="41">
        <v>90.0</v>
      </c>
      <c r="G28" s="42">
        <f>F28*$C$28</f>
        <v>6</v>
      </c>
      <c r="H28" s="41">
        <v>85.0</v>
      </c>
      <c r="I28" s="42">
        <f>H28*$C$28</f>
        <v>5.666666667</v>
      </c>
    </row>
    <row r="29">
      <c r="A29" s="38" t="s">
        <v>52</v>
      </c>
      <c r="B29" s="39">
        <v>4.0</v>
      </c>
      <c r="C29" s="40">
        <f t="shared" si="3"/>
        <v>0.1333333333</v>
      </c>
      <c r="D29" s="41">
        <v>85.0</v>
      </c>
      <c r="E29" s="42">
        <f>D29*$C$29</f>
        <v>11.33333333</v>
      </c>
      <c r="F29" s="41">
        <v>60.0</v>
      </c>
      <c r="G29" s="42">
        <f>F29*$C$29</f>
        <v>8</v>
      </c>
      <c r="H29" s="41">
        <v>70.0</v>
      </c>
      <c r="I29" s="42">
        <f>H29*$C$29</f>
        <v>9.333333333</v>
      </c>
    </row>
    <row r="30">
      <c r="A30" s="38" t="s">
        <v>53</v>
      </c>
      <c r="B30" s="39">
        <v>3.0</v>
      </c>
      <c r="C30" s="40">
        <f t="shared" si="3"/>
        <v>0.1</v>
      </c>
      <c r="D30" s="41">
        <v>85.0</v>
      </c>
      <c r="E30" s="42">
        <f>D30*$C$30</f>
        <v>8.5</v>
      </c>
      <c r="F30" s="41">
        <v>75.0</v>
      </c>
      <c r="G30" s="42">
        <f>F30*$C$30</f>
        <v>7.5</v>
      </c>
      <c r="H30" s="41">
        <v>80.0</v>
      </c>
      <c r="I30" s="42">
        <f>H30*$C$30</f>
        <v>8</v>
      </c>
    </row>
    <row r="31">
      <c r="A31" s="38" t="s">
        <v>54</v>
      </c>
      <c r="B31" s="39">
        <v>4.0</v>
      </c>
      <c r="C31" s="40">
        <f t="shared" si="3"/>
        <v>0.1333333333</v>
      </c>
      <c r="D31" s="41">
        <v>90.0</v>
      </c>
      <c r="E31" s="42">
        <f>D31*$C$31</f>
        <v>12</v>
      </c>
      <c r="F31" s="41">
        <v>85.0</v>
      </c>
      <c r="G31" s="42">
        <f>F31*$C$31</f>
        <v>11.33333333</v>
      </c>
      <c r="H31" s="41">
        <v>85.0</v>
      </c>
      <c r="I31" s="42">
        <f>H31*$C$31</f>
        <v>11.33333333</v>
      </c>
    </row>
    <row r="32">
      <c r="A32" s="43" t="s">
        <v>18</v>
      </c>
      <c r="B32" s="44">
        <f t="shared" ref="B32:C32" si="4">SUM(B23:B31)</f>
        <v>30</v>
      </c>
      <c r="C32" s="45">
        <f t="shared" si="4"/>
        <v>1</v>
      </c>
      <c r="D32" s="47">
        <f>SUM(E23:E31)/100</f>
        <v>0.855</v>
      </c>
      <c r="E32" s="33"/>
      <c r="F32" s="46">
        <f>SUM(G23:G31)/100</f>
        <v>0.775</v>
      </c>
      <c r="G32" s="33"/>
      <c r="H32" s="49">
        <f>SUM(I23:I31)/100</f>
        <v>0.8366666667</v>
      </c>
      <c r="I32" s="33"/>
    </row>
    <row r="33" ht="34.5" customHeight="1">
      <c r="A33" s="30">
        <v>3.0</v>
      </c>
      <c r="B33" s="31" t="s">
        <v>55</v>
      </c>
      <c r="C33" s="3"/>
      <c r="D33" s="31" t="s">
        <v>56</v>
      </c>
      <c r="E33" s="3"/>
      <c r="F33" s="31" t="s">
        <v>57</v>
      </c>
      <c r="G33" s="3"/>
      <c r="H33" s="31" t="s">
        <v>58</v>
      </c>
      <c r="I33" s="3"/>
    </row>
    <row r="34">
      <c r="A34" s="38" t="s">
        <v>59</v>
      </c>
      <c r="B34" s="39">
        <v>5.0</v>
      </c>
      <c r="C34" s="40">
        <f t="shared" ref="C34:C41" si="5">B34/$B$43</f>
        <v>0.1666666667</v>
      </c>
      <c r="D34" s="41">
        <v>70.0</v>
      </c>
      <c r="E34" s="42">
        <f>D34*$C$34</f>
        <v>11.66666667</v>
      </c>
      <c r="F34" s="41">
        <v>95.0</v>
      </c>
      <c r="G34" s="42">
        <f>F34*$C$34</f>
        <v>15.83333333</v>
      </c>
      <c r="H34" s="41">
        <v>50.0</v>
      </c>
      <c r="I34" s="42">
        <f>H34*$C$34</f>
        <v>8.333333333</v>
      </c>
    </row>
    <row r="35">
      <c r="A35" s="38" t="s">
        <v>60</v>
      </c>
      <c r="B35" s="39">
        <v>5.0</v>
      </c>
      <c r="C35" s="40">
        <f t="shared" si="5"/>
        <v>0.1666666667</v>
      </c>
      <c r="D35" s="41">
        <v>70.0</v>
      </c>
      <c r="E35" s="42">
        <f>D35*$C$35</f>
        <v>11.66666667</v>
      </c>
      <c r="F35" s="41">
        <v>90.0</v>
      </c>
      <c r="G35" s="42">
        <f>F35*$C$35</f>
        <v>15</v>
      </c>
      <c r="H35" s="41">
        <v>85.0</v>
      </c>
      <c r="I35" s="42">
        <f>H35*$C$35</f>
        <v>14.16666667</v>
      </c>
    </row>
    <row r="36">
      <c r="A36" s="38" t="s">
        <v>61</v>
      </c>
      <c r="B36" s="39">
        <v>4.0</v>
      </c>
      <c r="C36" s="40">
        <f t="shared" si="5"/>
        <v>0.1333333333</v>
      </c>
      <c r="D36" s="41">
        <v>60.0</v>
      </c>
      <c r="E36" s="42">
        <f>D36*$C$36</f>
        <v>8</v>
      </c>
      <c r="F36" s="41">
        <v>90.0</v>
      </c>
      <c r="G36" s="42">
        <f>F36*$C$36</f>
        <v>12</v>
      </c>
      <c r="H36" s="41">
        <v>80.0</v>
      </c>
      <c r="I36" s="42">
        <f>H36*$C$36</f>
        <v>10.66666667</v>
      </c>
    </row>
    <row r="37">
      <c r="A37" s="50" t="s">
        <v>36</v>
      </c>
      <c r="B37" s="39">
        <v>3.0</v>
      </c>
      <c r="C37" s="40">
        <f t="shared" si="5"/>
        <v>0.1</v>
      </c>
      <c r="D37" s="41">
        <v>75.0</v>
      </c>
      <c r="E37" s="42">
        <f>D37*$C$37</f>
        <v>7.5</v>
      </c>
      <c r="F37" s="41">
        <v>80.0</v>
      </c>
      <c r="G37" s="42">
        <f>F37*$C$37</f>
        <v>8</v>
      </c>
      <c r="H37" s="41">
        <v>90.0</v>
      </c>
      <c r="I37" s="42">
        <f>H37*$C$37</f>
        <v>9</v>
      </c>
    </row>
    <row r="38">
      <c r="A38" s="38" t="s">
        <v>62</v>
      </c>
      <c r="B38" s="39">
        <v>2.0</v>
      </c>
      <c r="C38" s="40">
        <f t="shared" si="5"/>
        <v>0.06666666667</v>
      </c>
      <c r="D38" s="41">
        <v>85.0</v>
      </c>
      <c r="E38" s="42">
        <f>D38*$C$38</f>
        <v>5.666666667</v>
      </c>
      <c r="F38" s="41">
        <v>70.0</v>
      </c>
      <c r="G38" s="42">
        <f>F38*$C$38</f>
        <v>4.666666667</v>
      </c>
      <c r="H38" s="41">
        <v>90.0</v>
      </c>
      <c r="I38" s="42">
        <f>H38*$C$38</f>
        <v>6</v>
      </c>
    </row>
    <row r="39">
      <c r="A39" s="38" t="s">
        <v>63</v>
      </c>
      <c r="B39" s="39">
        <v>4.0</v>
      </c>
      <c r="C39" s="40">
        <f t="shared" si="5"/>
        <v>0.1333333333</v>
      </c>
      <c r="D39" s="41">
        <v>90.0</v>
      </c>
      <c r="E39" s="42">
        <f>D39*$C$39</f>
        <v>12</v>
      </c>
      <c r="F39" s="41">
        <v>80.0</v>
      </c>
      <c r="G39" s="42">
        <f>F39*$C$39</f>
        <v>10.66666667</v>
      </c>
      <c r="H39" s="41">
        <v>75.0</v>
      </c>
      <c r="I39" s="42">
        <f>H39*$C$39</f>
        <v>10</v>
      </c>
    </row>
    <row r="40">
      <c r="A40" s="38" t="s">
        <v>33</v>
      </c>
      <c r="B40" s="39">
        <v>3.0</v>
      </c>
      <c r="C40" s="40">
        <f t="shared" si="5"/>
        <v>0.1</v>
      </c>
      <c r="D40" s="41">
        <v>96.0</v>
      </c>
      <c r="E40" s="42">
        <f>D40*$C$40</f>
        <v>9.6</v>
      </c>
      <c r="F40" s="41">
        <v>70.0</v>
      </c>
      <c r="G40" s="42">
        <f>F40*$C$40</f>
        <v>7</v>
      </c>
      <c r="H40" s="41">
        <v>90.0</v>
      </c>
      <c r="I40" s="42">
        <f>H40*$C$40</f>
        <v>9</v>
      </c>
    </row>
    <row r="41">
      <c r="A41" s="38" t="s">
        <v>64</v>
      </c>
      <c r="B41" s="39">
        <v>4.0</v>
      </c>
      <c r="C41" s="40">
        <f t="shared" si="5"/>
        <v>0.1333333333</v>
      </c>
      <c r="D41" s="41">
        <v>60.0</v>
      </c>
      <c r="E41" s="42">
        <f>D41*$C$41</f>
        <v>8</v>
      </c>
      <c r="F41" s="41">
        <v>95.0</v>
      </c>
      <c r="G41" s="42">
        <f>F41*$C$41</f>
        <v>12.66666667</v>
      </c>
      <c r="H41" s="41">
        <v>40.0</v>
      </c>
      <c r="I41" s="42">
        <f>H41*$C$41</f>
        <v>5.333333333</v>
      </c>
    </row>
    <row r="42">
      <c r="A42" s="38" t="s">
        <v>65</v>
      </c>
      <c r="B42" s="51">
        <v>3.0</v>
      </c>
      <c r="C42" s="52">
        <f>B40/$B$43</f>
        <v>0.1</v>
      </c>
      <c r="D42" s="53">
        <v>70.0</v>
      </c>
      <c r="E42" s="54">
        <f>D42*$C$42</f>
        <v>7</v>
      </c>
      <c r="F42" s="53">
        <v>80.0</v>
      </c>
      <c r="G42" s="54">
        <f>F42*$C$42</f>
        <v>8</v>
      </c>
      <c r="H42" s="53">
        <v>85.0</v>
      </c>
      <c r="I42" s="54">
        <f>H42*$C$42</f>
        <v>8.5</v>
      </c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</row>
    <row r="43">
      <c r="A43" s="43" t="s">
        <v>18</v>
      </c>
      <c r="B43" s="44">
        <f t="shared" ref="B43:C43" si="6">SUM(B34:B41)</f>
        <v>30</v>
      </c>
      <c r="C43" s="45">
        <f t="shared" si="6"/>
        <v>1</v>
      </c>
      <c r="D43" s="49">
        <f>SUM(E34:E41)/100</f>
        <v>0.741</v>
      </c>
      <c r="E43" s="33"/>
      <c r="F43" s="47">
        <f>SUM(G34:G41)/100</f>
        <v>0.8583333333</v>
      </c>
      <c r="G43" s="33"/>
      <c r="H43" s="46">
        <f>SUM(I34:I41)/100</f>
        <v>0.725</v>
      </c>
      <c r="I43" s="33"/>
    </row>
    <row r="44">
      <c r="A44" s="30">
        <v>4.0</v>
      </c>
      <c r="B44" s="31" t="s">
        <v>66</v>
      </c>
      <c r="C44" s="3"/>
      <c r="D44" s="31" t="s">
        <v>67</v>
      </c>
      <c r="E44" s="3"/>
      <c r="F44" s="31" t="s">
        <v>68</v>
      </c>
      <c r="G44" s="3"/>
      <c r="H44" s="31" t="s">
        <v>69</v>
      </c>
      <c r="I44" s="3"/>
    </row>
    <row r="45">
      <c r="A45" s="38" t="s">
        <v>70</v>
      </c>
      <c r="B45" s="39">
        <v>5.0</v>
      </c>
      <c r="C45" s="40">
        <f t="shared" ref="C45:C53" si="7">B45/$B$54</f>
        <v>0.1666666667</v>
      </c>
      <c r="D45" s="41">
        <v>85.0</v>
      </c>
      <c r="E45" s="42">
        <f>D45*$C$45</f>
        <v>14.16666667</v>
      </c>
      <c r="F45" s="41">
        <v>90.0</v>
      </c>
      <c r="G45" s="42">
        <f>F45*$C$45</f>
        <v>15</v>
      </c>
      <c r="H45" s="41">
        <v>75.0</v>
      </c>
      <c r="I45" s="42">
        <f>H45*$C$45</f>
        <v>12.5</v>
      </c>
    </row>
    <row r="46">
      <c r="A46" s="38" t="s">
        <v>34</v>
      </c>
      <c r="B46" s="39">
        <v>3.0</v>
      </c>
      <c r="C46" s="40">
        <f t="shared" si="7"/>
        <v>0.1</v>
      </c>
      <c r="D46" s="41">
        <v>80.0</v>
      </c>
      <c r="E46" s="42">
        <f>D46*$C$46</f>
        <v>8</v>
      </c>
      <c r="F46" s="41">
        <v>85.0</v>
      </c>
      <c r="G46" s="42">
        <f>F46*$C$46</f>
        <v>8.5</v>
      </c>
      <c r="H46" s="41">
        <v>65.0</v>
      </c>
      <c r="I46" s="42">
        <f>H46*$C$46</f>
        <v>6.5</v>
      </c>
    </row>
    <row r="47">
      <c r="A47" s="38" t="s">
        <v>71</v>
      </c>
      <c r="B47" s="39">
        <v>4.0</v>
      </c>
      <c r="C47" s="40">
        <f t="shared" si="7"/>
        <v>0.1333333333</v>
      </c>
      <c r="D47" s="41">
        <v>80.0</v>
      </c>
      <c r="E47" s="42">
        <f>D47*$C$47</f>
        <v>10.66666667</v>
      </c>
      <c r="F47" s="41">
        <v>90.0</v>
      </c>
      <c r="G47" s="42">
        <f>F47*$C$47</f>
        <v>12</v>
      </c>
      <c r="H47" s="41">
        <v>95.0</v>
      </c>
      <c r="I47" s="42">
        <f>H47*$C$47</f>
        <v>12.66666667</v>
      </c>
    </row>
    <row r="48">
      <c r="A48" s="56" t="s">
        <v>72</v>
      </c>
      <c r="B48" s="39">
        <v>4.0</v>
      </c>
      <c r="C48" s="40">
        <f t="shared" si="7"/>
        <v>0.1333333333</v>
      </c>
      <c r="D48" s="41">
        <v>90.0</v>
      </c>
      <c r="E48" s="42">
        <f>D48*$C$48</f>
        <v>12</v>
      </c>
      <c r="F48" s="41">
        <v>80.0</v>
      </c>
      <c r="G48" s="42">
        <f>F48*$C$48</f>
        <v>10.66666667</v>
      </c>
      <c r="H48" s="41">
        <v>60.0</v>
      </c>
      <c r="I48" s="42">
        <f>H48*$C$48</f>
        <v>8</v>
      </c>
    </row>
    <row r="49">
      <c r="A49" s="38" t="s">
        <v>33</v>
      </c>
      <c r="B49" s="39">
        <v>3.0</v>
      </c>
      <c r="C49" s="40">
        <f t="shared" si="7"/>
        <v>0.1</v>
      </c>
      <c r="D49" s="41">
        <v>95.0</v>
      </c>
      <c r="E49" s="42">
        <f>D49*$C$49</f>
        <v>9.5</v>
      </c>
      <c r="F49" s="41">
        <v>70.0</v>
      </c>
      <c r="G49" s="42">
        <f>F49*$C$49</f>
        <v>7</v>
      </c>
      <c r="H49" s="41">
        <v>60.0</v>
      </c>
      <c r="I49" s="42">
        <f>H49*$C$49</f>
        <v>6</v>
      </c>
    </row>
    <row r="50">
      <c r="A50" s="38" t="s">
        <v>73</v>
      </c>
      <c r="B50" s="39">
        <v>2.0</v>
      </c>
      <c r="C50" s="40">
        <f t="shared" si="7"/>
        <v>0.06666666667</v>
      </c>
      <c r="D50" s="41">
        <v>85.0</v>
      </c>
      <c r="E50" s="42">
        <f>D50*$C$50</f>
        <v>5.666666667</v>
      </c>
      <c r="F50" s="41">
        <v>75.0</v>
      </c>
      <c r="G50" s="42">
        <f>F50*$C$50</f>
        <v>5</v>
      </c>
      <c r="H50" s="41">
        <v>70.0</v>
      </c>
      <c r="I50" s="42">
        <f>H50*$C$50</f>
        <v>4.666666667</v>
      </c>
    </row>
    <row r="51">
      <c r="A51" s="38" t="s">
        <v>74</v>
      </c>
      <c r="B51" s="39">
        <v>3.0</v>
      </c>
      <c r="C51" s="40">
        <f t="shared" si="7"/>
        <v>0.1</v>
      </c>
      <c r="D51" s="41">
        <v>90.0</v>
      </c>
      <c r="E51" s="42">
        <f>D51*$C$51</f>
        <v>9</v>
      </c>
      <c r="F51" s="41">
        <v>80.0</v>
      </c>
      <c r="G51" s="42">
        <f>F51*$C$51</f>
        <v>8</v>
      </c>
      <c r="H51" s="41">
        <v>65.0</v>
      </c>
      <c r="I51" s="42">
        <f>H51*$C$51</f>
        <v>6.5</v>
      </c>
    </row>
    <row r="52">
      <c r="A52" s="56" t="s">
        <v>75</v>
      </c>
      <c r="B52" s="39">
        <v>3.0</v>
      </c>
      <c r="C52" s="40">
        <f t="shared" si="7"/>
        <v>0.1</v>
      </c>
      <c r="D52" s="41">
        <v>85.0</v>
      </c>
      <c r="E52" s="42">
        <f>D52*$C$52</f>
        <v>8.5</v>
      </c>
      <c r="F52" s="41">
        <v>90.0</v>
      </c>
      <c r="G52" s="42">
        <f>F52*$C$52</f>
        <v>9</v>
      </c>
      <c r="H52" s="41">
        <v>70.0</v>
      </c>
      <c r="I52" s="42">
        <f>H52*$C$52</f>
        <v>7</v>
      </c>
    </row>
    <row r="53">
      <c r="A53" s="56" t="s">
        <v>76</v>
      </c>
      <c r="B53" s="39">
        <v>3.0</v>
      </c>
      <c r="C53" s="40">
        <f t="shared" si="7"/>
        <v>0.1</v>
      </c>
      <c r="D53" s="41">
        <v>90.0</v>
      </c>
      <c r="E53" s="42">
        <f>D53*$C$53</f>
        <v>9</v>
      </c>
      <c r="F53" s="41">
        <v>85.0</v>
      </c>
      <c r="G53" s="42">
        <f>F53*$C$53</f>
        <v>8.5</v>
      </c>
      <c r="H53" s="41">
        <v>60.0</v>
      </c>
      <c r="I53" s="42">
        <f>H53*$C$53</f>
        <v>6</v>
      </c>
    </row>
    <row r="54">
      <c r="A54" s="43" t="s">
        <v>18</v>
      </c>
      <c r="B54" s="44">
        <f t="shared" ref="B54:C54" si="8">SUM(B45:B53)</f>
        <v>30</v>
      </c>
      <c r="C54" s="45">
        <f t="shared" si="8"/>
        <v>1</v>
      </c>
      <c r="D54" s="57">
        <f>SUM(E45:E53)/100</f>
        <v>0.865</v>
      </c>
      <c r="E54" s="33"/>
      <c r="F54" s="49">
        <f>SUM(G45:G53)/100</f>
        <v>0.8366666667</v>
      </c>
      <c r="G54" s="33"/>
      <c r="H54" s="46">
        <f>SUM(I45:I53)/100</f>
        <v>0.6983333333</v>
      </c>
      <c r="I54" s="33"/>
    </row>
    <row r="55">
      <c r="A55" s="30">
        <v>5.0</v>
      </c>
      <c r="B55" s="31" t="s">
        <v>77</v>
      </c>
      <c r="C55" s="3"/>
      <c r="D55" s="31" t="s">
        <v>78</v>
      </c>
      <c r="E55" s="3"/>
      <c r="F55" s="31" t="s">
        <v>79</v>
      </c>
      <c r="G55" s="3"/>
      <c r="H55" s="31" t="s">
        <v>80</v>
      </c>
      <c r="I55" s="3"/>
    </row>
    <row r="56">
      <c r="A56" s="38" t="s">
        <v>81</v>
      </c>
      <c r="B56" s="39">
        <v>5.0</v>
      </c>
      <c r="C56" s="40">
        <f t="shared" ref="C56:C62" si="9">B56/$B$63</f>
        <v>0.2</v>
      </c>
      <c r="D56" s="41">
        <v>60.0</v>
      </c>
      <c r="E56" s="42">
        <f>D56*$C$56</f>
        <v>12</v>
      </c>
      <c r="F56" s="41">
        <v>95.0</v>
      </c>
      <c r="G56" s="42">
        <f>F56*$C$56</f>
        <v>19</v>
      </c>
      <c r="H56" s="41">
        <v>85.0</v>
      </c>
      <c r="I56" s="42">
        <f>H56*$C$56</f>
        <v>17</v>
      </c>
    </row>
    <row r="57">
      <c r="A57" s="38" t="s">
        <v>82</v>
      </c>
      <c r="B57" s="39">
        <v>5.0</v>
      </c>
      <c r="C57" s="40">
        <f t="shared" si="9"/>
        <v>0.2</v>
      </c>
      <c r="D57" s="41">
        <v>90.0</v>
      </c>
      <c r="E57" s="42">
        <f>D57*$C$57</f>
        <v>18</v>
      </c>
      <c r="F57" s="41">
        <v>60.0</v>
      </c>
      <c r="G57" s="42">
        <f>F57*$C$57</f>
        <v>12</v>
      </c>
      <c r="H57" s="41">
        <v>75.0</v>
      </c>
      <c r="I57" s="42">
        <f>H57*$C$57</f>
        <v>15</v>
      </c>
    </row>
    <row r="58">
      <c r="A58" s="38" t="s">
        <v>83</v>
      </c>
      <c r="B58" s="39">
        <v>3.0</v>
      </c>
      <c r="C58" s="40">
        <f t="shared" si="9"/>
        <v>0.12</v>
      </c>
      <c r="D58" s="41">
        <v>85.0</v>
      </c>
      <c r="E58" s="42">
        <f>D58*$C$58</f>
        <v>10.2</v>
      </c>
      <c r="F58" s="41">
        <v>60.0</v>
      </c>
      <c r="G58" s="42">
        <f>F58*$C$58</f>
        <v>7.2</v>
      </c>
      <c r="H58" s="41">
        <v>70.0</v>
      </c>
      <c r="I58" s="42">
        <f>H58*$C$58</f>
        <v>8.4</v>
      </c>
    </row>
    <row r="59">
      <c r="A59" s="38" t="s">
        <v>46</v>
      </c>
      <c r="B59" s="39">
        <v>4.0</v>
      </c>
      <c r="C59" s="40">
        <f t="shared" si="9"/>
        <v>0.16</v>
      </c>
      <c r="D59" s="41">
        <v>80.0</v>
      </c>
      <c r="E59" s="42">
        <f>D59*$C$59</f>
        <v>12.8</v>
      </c>
      <c r="F59" s="41">
        <v>90.0</v>
      </c>
      <c r="G59" s="42">
        <f>F59*$C$59</f>
        <v>14.4</v>
      </c>
      <c r="H59" s="41">
        <v>85.0</v>
      </c>
      <c r="I59" s="42">
        <f>H59*$C$59</f>
        <v>13.6</v>
      </c>
    </row>
    <row r="60">
      <c r="A60" s="38" t="s">
        <v>51</v>
      </c>
      <c r="B60" s="39">
        <v>3.0</v>
      </c>
      <c r="C60" s="40">
        <f t="shared" si="9"/>
        <v>0.12</v>
      </c>
      <c r="D60" s="41">
        <v>95.0</v>
      </c>
      <c r="E60" s="42">
        <f>D60*$C$60</f>
        <v>11.4</v>
      </c>
      <c r="F60" s="41">
        <v>40.0</v>
      </c>
      <c r="G60" s="42">
        <f>F60*$C$60</f>
        <v>4.8</v>
      </c>
      <c r="H60" s="41">
        <v>85.0</v>
      </c>
      <c r="I60" s="42">
        <f>H60*$C$60</f>
        <v>10.2</v>
      </c>
    </row>
    <row r="61">
      <c r="A61" s="38" t="s">
        <v>84</v>
      </c>
      <c r="B61" s="39">
        <v>2.0</v>
      </c>
      <c r="C61" s="40">
        <f t="shared" si="9"/>
        <v>0.08</v>
      </c>
      <c r="D61" s="41">
        <v>70.0</v>
      </c>
      <c r="E61" s="42">
        <f>D61*$C$61</f>
        <v>5.6</v>
      </c>
      <c r="F61" s="41">
        <v>95.0</v>
      </c>
      <c r="G61" s="42">
        <f>F61*$C$61</f>
        <v>7.6</v>
      </c>
      <c r="H61" s="41">
        <v>90.0</v>
      </c>
      <c r="I61" s="42">
        <f>H61*$C$61</f>
        <v>7.2</v>
      </c>
    </row>
    <row r="62">
      <c r="A62" s="38" t="s">
        <v>54</v>
      </c>
      <c r="B62" s="39">
        <v>3.0</v>
      </c>
      <c r="C62" s="40">
        <f t="shared" si="9"/>
        <v>0.12</v>
      </c>
      <c r="D62" s="41">
        <v>90.0</v>
      </c>
      <c r="E62" s="42">
        <f>D62*$C$62</f>
        <v>10.8</v>
      </c>
      <c r="F62" s="41">
        <v>80.0</v>
      </c>
      <c r="G62" s="42">
        <f>F62*$C$62</f>
        <v>9.6</v>
      </c>
      <c r="H62" s="41">
        <v>90.0</v>
      </c>
      <c r="I62" s="42">
        <f>H62*$C$62</f>
        <v>10.8</v>
      </c>
    </row>
    <row r="63">
      <c r="A63" s="43" t="s">
        <v>18</v>
      </c>
      <c r="B63" s="44">
        <f t="shared" ref="B63:C63" si="10">SUM(B56:B62)</f>
        <v>25</v>
      </c>
      <c r="C63" s="45">
        <f t="shared" si="10"/>
        <v>1</v>
      </c>
      <c r="D63" s="47">
        <f>SUM(E56:E62)/100</f>
        <v>0.808</v>
      </c>
      <c r="E63" s="33"/>
      <c r="F63" s="46">
        <f>SUM(G56:G62)/100</f>
        <v>0.746</v>
      </c>
      <c r="G63" s="33"/>
      <c r="H63" s="46">
        <f>SUM(I56:I62)/100</f>
        <v>0.822</v>
      </c>
      <c r="I63" s="33"/>
    </row>
    <row r="64">
      <c r="A64" s="30">
        <v>6.0</v>
      </c>
      <c r="B64" s="31" t="s">
        <v>85</v>
      </c>
      <c r="C64" s="3"/>
      <c r="D64" s="31" t="s">
        <v>86</v>
      </c>
      <c r="E64" s="3"/>
      <c r="F64" s="31" t="s">
        <v>87</v>
      </c>
      <c r="G64" s="3"/>
      <c r="H64" s="31" t="s">
        <v>88</v>
      </c>
      <c r="I64" s="3"/>
    </row>
    <row r="65">
      <c r="A65" s="38" t="s">
        <v>34</v>
      </c>
      <c r="B65" s="39">
        <v>5.0</v>
      </c>
      <c r="C65" s="40">
        <f t="shared" ref="C65:C72" si="11">B65/$B$73</f>
        <v>0.2</v>
      </c>
      <c r="D65" s="41">
        <v>90.0</v>
      </c>
      <c r="E65" s="42">
        <f>D65*$C$65</f>
        <v>18</v>
      </c>
      <c r="F65" s="41">
        <v>85.0</v>
      </c>
      <c r="G65" s="42">
        <f>F65*$C$65</f>
        <v>17</v>
      </c>
      <c r="H65" s="41">
        <v>80.0</v>
      </c>
      <c r="I65" s="42">
        <f>H65*$C$65</f>
        <v>16</v>
      </c>
    </row>
    <row r="66">
      <c r="A66" s="38" t="s">
        <v>89</v>
      </c>
      <c r="B66" s="39">
        <v>4.0</v>
      </c>
      <c r="C66" s="40">
        <f t="shared" si="11"/>
        <v>0.16</v>
      </c>
      <c r="D66" s="41">
        <v>90.0</v>
      </c>
      <c r="E66" s="42">
        <f>D66*$C$66</f>
        <v>14.4</v>
      </c>
      <c r="F66" s="41">
        <v>85.0</v>
      </c>
      <c r="G66" s="42">
        <f>F66*$C$66</f>
        <v>13.6</v>
      </c>
      <c r="H66" s="41">
        <v>70.0</v>
      </c>
      <c r="I66" s="42">
        <f>H66*$C$66</f>
        <v>11.2</v>
      </c>
    </row>
    <row r="67">
      <c r="A67" s="38" t="s">
        <v>90</v>
      </c>
      <c r="B67" s="39">
        <v>3.0</v>
      </c>
      <c r="C67" s="40">
        <f t="shared" si="11"/>
        <v>0.12</v>
      </c>
      <c r="D67" s="41">
        <v>95.0</v>
      </c>
      <c r="E67" s="42">
        <f>D67*$C$67</f>
        <v>11.4</v>
      </c>
      <c r="F67" s="41">
        <v>90.0</v>
      </c>
      <c r="G67" s="42">
        <f>F67*$C$67</f>
        <v>10.8</v>
      </c>
      <c r="H67" s="41">
        <v>60.0</v>
      </c>
      <c r="I67" s="42">
        <f>H67*$C$67</f>
        <v>7.2</v>
      </c>
    </row>
    <row r="68">
      <c r="A68" s="38" t="s">
        <v>91</v>
      </c>
      <c r="B68" s="39">
        <v>3.0</v>
      </c>
      <c r="C68" s="40">
        <f t="shared" si="11"/>
        <v>0.12</v>
      </c>
      <c r="D68" s="41">
        <v>85.0</v>
      </c>
      <c r="E68" s="42">
        <f>D68*$C$68</f>
        <v>10.2</v>
      </c>
      <c r="F68" s="41">
        <v>90.0</v>
      </c>
      <c r="G68" s="42">
        <f>F68*$C$68</f>
        <v>10.8</v>
      </c>
      <c r="H68" s="41">
        <v>75.0</v>
      </c>
      <c r="I68" s="42">
        <f>H68*$C$68</f>
        <v>9</v>
      </c>
    </row>
    <row r="69">
      <c r="A69" s="38" t="s">
        <v>92</v>
      </c>
      <c r="B69" s="39">
        <v>3.0</v>
      </c>
      <c r="C69" s="40">
        <f t="shared" si="11"/>
        <v>0.12</v>
      </c>
      <c r="D69" s="41">
        <v>80.0</v>
      </c>
      <c r="E69" s="42">
        <f>D69*$C$69</f>
        <v>9.6</v>
      </c>
      <c r="F69" s="41">
        <v>85.0</v>
      </c>
      <c r="G69" s="42">
        <f>F69*$C$69</f>
        <v>10.2</v>
      </c>
      <c r="H69" s="41">
        <v>95.0</v>
      </c>
      <c r="I69" s="42">
        <f>H69*$C$69</f>
        <v>11.4</v>
      </c>
    </row>
    <row r="70">
      <c r="A70" s="38" t="s">
        <v>93</v>
      </c>
      <c r="B70" s="39">
        <v>2.0</v>
      </c>
      <c r="C70" s="40">
        <f t="shared" si="11"/>
        <v>0.08</v>
      </c>
      <c r="D70" s="41">
        <v>75.0</v>
      </c>
      <c r="E70" s="42">
        <f>D70*$C$70</f>
        <v>6</v>
      </c>
      <c r="F70" s="41">
        <v>80.0</v>
      </c>
      <c r="G70" s="42">
        <f>F70*$C$70</f>
        <v>6.4</v>
      </c>
      <c r="H70" s="41">
        <v>90.0</v>
      </c>
      <c r="I70" s="42">
        <f>H70*$C$70</f>
        <v>7.2</v>
      </c>
    </row>
    <row r="71">
      <c r="A71" s="38" t="s">
        <v>33</v>
      </c>
      <c r="B71" s="39">
        <v>2.0</v>
      </c>
      <c r="C71" s="40">
        <f t="shared" si="11"/>
        <v>0.08</v>
      </c>
      <c r="D71" s="41">
        <v>90.0</v>
      </c>
      <c r="E71" s="42">
        <f t="shared" ref="E71:E72" si="12">D71*$C$71</f>
        <v>7.2</v>
      </c>
      <c r="F71" s="41">
        <v>85.0</v>
      </c>
      <c r="G71" s="42">
        <f t="shared" ref="G71:G72" si="13">F71*$C$71</f>
        <v>6.8</v>
      </c>
      <c r="H71" s="41">
        <v>80.0</v>
      </c>
      <c r="I71" s="42">
        <f t="shared" ref="I71:I72" si="14">H71*$C$71</f>
        <v>6.4</v>
      </c>
    </row>
    <row r="72">
      <c r="A72" s="38" t="s">
        <v>39</v>
      </c>
      <c r="B72" s="39">
        <v>3.0</v>
      </c>
      <c r="C72" s="40">
        <f t="shared" si="11"/>
        <v>0.12</v>
      </c>
      <c r="D72" s="41">
        <v>95.0</v>
      </c>
      <c r="E72" s="42">
        <f t="shared" si="12"/>
        <v>7.6</v>
      </c>
      <c r="F72" s="41">
        <v>85.0</v>
      </c>
      <c r="G72" s="42">
        <f t="shared" si="13"/>
        <v>6.8</v>
      </c>
      <c r="H72" s="41">
        <v>70.0</v>
      </c>
      <c r="I72" s="42">
        <f t="shared" si="14"/>
        <v>5.6</v>
      </c>
    </row>
    <row r="73">
      <c r="A73" s="43" t="s">
        <v>18</v>
      </c>
      <c r="B73" s="44">
        <f t="shared" ref="B73:C73" si="15">SUM(B65:B72)</f>
        <v>25</v>
      </c>
      <c r="C73" s="45">
        <f t="shared" si="15"/>
        <v>1</v>
      </c>
      <c r="D73" s="47">
        <f>SUM(E65:E72)/100</f>
        <v>0.844</v>
      </c>
      <c r="E73" s="33"/>
      <c r="F73" s="49">
        <f>SUM(G65:G72)/100</f>
        <v>0.824</v>
      </c>
      <c r="G73" s="33"/>
      <c r="H73" s="49">
        <f>SUM(I65:I72)/100</f>
        <v>0.74</v>
      </c>
      <c r="I73" s="33"/>
    </row>
    <row r="74">
      <c r="A74" s="30">
        <v>7.0</v>
      </c>
      <c r="B74" s="31" t="s">
        <v>94</v>
      </c>
      <c r="C74" s="3"/>
      <c r="D74" s="31" t="s">
        <v>95</v>
      </c>
      <c r="E74" s="3"/>
      <c r="F74" s="31" t="s">
        <v>96</v>
      </c>
      <c r="G74" s="3"/>
      <c r="H74" s="31" t="s">
        <v>97</v>
      </c>
      <c r="I74" s="3"/>
    </row>
    <row r="75">
      <c r="A75" s="38" t="s">
        <v>98</v>
      </c>
      <c r="B75" s="39">
        <v>5.0</v>
      </c>
      <c r="C75" s="40">
        <f t="shared" ref="C75:C82" si="16">B75/$B$83</f>
        <v>0.1666666667</v>
      </c>
      <c r="D75" s="41">
        <v>80.0</v>
      </c>
      <c r="E75" s="42">
        <f>D75*$C$75</f>
        <v>13.33333333</v>
      </c>
      <c r="F75" s="41">
        <v>90.0</v>
      </c>
      <c r="G75" s="42">
        <f>F75*$C$75</f>
        <v>15</v>
      </c>
      <c r="H75" s="41">
        <v>90.0</v>
      </c>
      <c r="I75" s="42">
        <f>H75*$C$75</f>
        <v>15</v>
      </c>
    </row>
    <row r="76">
      <c r="A76" s="38" t="s">
        <v>99</v>
      </c>
      <c r="B76" s="39">
        <v>4.0</v>
      </c>
      <c r="C76" s="40">
        <f t="shared" si="16"/>
        <v>0.1333333333</v>
      </c>
      <c r="D76" s="41">
        <v>95.0</v>
      </c>
      <c r="E76" s="42">
        <f>D76*$C$76</f>
        <v>12.66666667</v>
      </c>
      <c r="F76" s="41">
        <v>95.0</v>
      </c>
      <c r="G76" s="42">
        <f>F76*$C$76</f>
        <v>12.66666667</v>
      </c>
      <c r="H76" s="41">
        <v>70.0</v>
      </c>
      <c r="I76" s="42">
        <f>H76*$C$76</f>
        <v>9.333333333</v>
      </c>
    </row>
    <row r="77">
      <c r="A77" s="38" t="s">
        <v>100</v>
      </c>
      <c r="B77" s="39">
        <v>5.0</v>
      </c>
      <c r="C77" s="40">
        <f t="shared" si="16"/>
        <v>0.1666666667</v>
      </c>
      <c r="D77" s="41">
        <v>90.0</v>
      </c>
      <c r="E77" s="42">
        <f>D77*$C$77</f>
        <v>15</v>
      </c>
      <c r="F77" s="41">
        <v>90.0</v>
      </c>
      <c r="G77" s="42">
        <f>F77*$C$77</f>
        <v>15</v>
      </c>
      <c r="H77" s="41">
        <v>75.0</v>
      </c>
      <c r="I77" s="42">
        <f>H77*$C$77</f>
        <v>12.5</v>
      </c>
    </row>
    <row r="78">
      <c r="A78" s="38" t="s">
        <v>62</v>
      </c>
      <c r="B78" s="39">
        <v>2.0</v>
      </c>
      <c r="C78" s="40">
        <f t="shared" si="16"/>
        <v>0.06666666667</v>
      </c>
      <c r="D78" s="41">
        <v>80.0</v>
      </c>
      <c r="E78" s="42">
        <f>D78*$C$78</f>
        <v>5.333333333</v>
      </c>
      <c r="F78" s="41">
        <v>85.0</v>
      </c>
      <c r="G78" s="42">
        <f>F78*$C$78</f>
        <v>5.666666667</v>
      </c>
      <c r="H78" s="41">
        <v>90.0</v>
      </c>
      <c r="I78" s="42">
        <f>H78*$C$78</f>
        <v>6</v>
      </c>
    </row>
    <row r="79">
      <c r="A79" s="38" t="s">
        <v>37</v>
      </c>
      <c r="B79" s="39">
        <v>4.0</v>
      </c>
      <c r="C79" s="40">
        <f t="shared" si="16"/>
        <v>0.1333333333</v>
      </c>
      <c r="D79" s="41">
        <v>90.0</v>
      </c>
      <c r="E79" s="42">
        <f>D79*$C$79</f>
        <v>12</v>
      </c>
      <c r="F79" s="41">
        <v>90.0</v>
      </c>
      <c r="G79" s="42">
        <f>F79*$C$79</f>
        <v>12</v>
      </c>
      <c r="H79" s="41">
        <v>85.0</v>
      </c>
      <c r="I79" s="42">
        <f>H79*$C$79</f>
        <v>11.33333333</v>
      </c>
    </row>
    <row r="80">
      <c r="A80" s="38" t="s">
        <v>101</v>
      </c>
      <c r="B80" s="39">
        <v>4.0</v>
      </c>
      <c r="C80" s="40">
        <f t="shared" si="16"/>
        <v>0.1333333333</v>
      </c>
      <c r="D80" s="41">
        <v>75.0</v>
      </c>
      <c r="E80" s="42">
        <f>D80*$C$80</f>
        <v>10</v>
      </c>
      <c r="F80" s="41">
        <v>80.0</v>
      </c>
      <c r="G80" s="42">
        <f>F80*$C$80</f>
        <v>10.66666667</v>
      </c>
      <c r="H80" s="41">
        <v>90.0</v>
      </c>
      <c r="I80" s="42">
        <f>H80*$C$80</f>
        <v>12</v>
      </c>
    </row>
    <row r="81">
      <c r="A81" s="38" t="s">
        <v>102</v>
      </c>
      <c r="B81" s="39">
        <v>3.0</v>
      </c>
      <c r="C81" s="40">
        <f t="shared" si="16"/>
        <v>0.1</v>
      </c>
      <c r="D81" s="41">
        <v>95.0</v>
      </c>
      <c r="E81" s="42">
        <f>D81*$C$81</f>
        <v>9.5</v>
      </c>
      <c r="F81" s="41">
        <v>95.0</v>
      </c>
      <c r="G81" s="42">
        <f>F81*$C$81</f>
        <v>9.5</v>
      </c>
      <c r="H81" s="41">
        <v>80.0</v>
      </c>
      <c r="I81" s="42">
        <f>H81*$C$81</f>
        <v>8</v>
      </c>
    </row>
    <row r="82">
      <c r="A82" s="38" t="s">
        <v>103</v>
      </c>
      <c r="B82" s="39">
        <v>3.0</v>
      </c>
      <c r="C82" s="40">
        <f t="shared" si="16"/>
        <v>0.1</v>
      </c>
      <c r="D82" s="41">
        <v>85.0</v>
      </c>
      <c r="E82" s="42">
        <f>D82*$C$82</f>
        <v>8.5</v>
      </c>
      <c r="F82" s="41">
        <v>85.0</v>
      </c>
      <c r="G82" s="42">
        <f>F82*$C$82</f>
        <v>8.5</v>
      </c>
      <c r="H82" s="41">
        <v>70.0</v>
      </c>
      <c r="I82" s="42">
        <f>H82*$C$82</f>
        <v>7</v>
      </c>
    </row>
    <row r="83">
      <c r="A83" s="43" t="s">
        <v>18</v>
      </c>
      <c r="B83" s="44">
        <f t="shared" ref="B83:C83" si="17">SUM(B75:B82)</f>
        <v>30</v>
      </c>
      <c r="C83" s="45">
        <f t="shared" si="17"/>
        <v>1</v>
      </c>
      <c r="D83" s="49">
        <f>SUM(E75:E82)/100</f>
        <v>0.8633333333</v>
      </c>
      <c r="E83" s="33"/>
      <c r="F83" s="47">
        <f>SUM(G75:G82)/100</f>
        <v>0.89</v>
      </c>
      <c r="G83" s="33"/>
      <c r="H83" s="46">
        <f>SUM(I75:I82)/100</f>
        <v>0.8116666667</v>
      </c>
      <c r="I83" s="33"/>
    </row>
    <row r="84">
      <c r="A84" s="30">
        <v>8.0</v>
      </c>
      <c r="B84" s="31" t="s">
        <v>104</v>
      </c>
      <c r="C84" s="3"/>
      <c r="D84" s="31" t="s">
        <v>105</v>
      </c>
      <c r="E84" s="3"/>
      <c r="F84" s="31" t="s">
        <v>106</v>
      </c>
      <c r="G84" s="3"/>
      <c r="H84" s="31" t="s">
        <v>107</v>
      </c>
      <c r="I84" s="3"/>
    </row>
    <row r="85">
      <c r="A85" s="38" t="s">
        <v>108</v>
      </c>
      <c r="B85" s="39">
        <v>4.0</v>
      </c>
      <c r="C85" s="40">
        <f t="shared" ref="C85:C95" si="18">B85/$B$96</f>
        <v>0.1333333333</v>
      </c>
      <c r="D85" s="41">
        <v>85.0</v>
      </c>
      <c r="E85" s="42">
        <f>D85*$C$85</f>
        <v>11.33333333</v>
      </c>
      <c r="F85" s="41">
        <v>60.0</v>
      </c>
      <c r="G85" s="42">
        <f>F85*$C$85</f>
        <v>8</v>
      </c>
      <c r="H85" s="41">
        <v>95.0</v>
      </c>
      <c r="I85" s="42">
        <f>H85*$C$85</f>
        <v>12.66666667</v>
      </c>
    </row>
    <row r="86">
      <c r="A86" s="38" t="s">
        <v>109</v>
      </c>
      <c r="B86" s="39">
        <v>4.0</v>
      </c>
      <c r="C86" s="40">
        <f t="shared" si="18"/>
        <v>0.1333333333</v>
      </c>
      <c r="D86" s="41">
        <v>80.0</v>
      </c>
      <c r="E86" s="42">
        <f>D86*$C$86</f>
        <v>10.66666667</v>
      </c>
      <c r="F86" s="41">
        <v>70.0</v>
      </c>
      <c r="G86" s="42">
        <f>F86*$C$86</f>
        <v>9.333333333</v>
      </c>
      <c r="H86" s="41">
        <v>95.0</v>
      </c>
      <c r="I86" s="42">
        <f>H86*$C$86</f>
        <v>12.66666667</v>
      </c>
    </row>
    <row r="87">
      <c r="A87" s="38" t="s">
        <v>110</v>
      </c>
      <c r="B87" s="39">
        <v>3.0</v>
      </c>
      <c r="C87" s="40">
        <f t="shared" si="18"/>
        <v>0.1</v>
      </c>
      <c r="D87" s="41">
        <v>85.0</v>
      </c>
      <c r="E87" s="42">
        <f>D87*$C$87</f>
        <v>8.5</v>
      </c>
      <c r="F87" s="41">
        <v>80.0</v>
      </c>
      <c r="G87" s="42">
        <f>F87*$C$87</f>
        <v>8</v>
      </c>
      <c r="H87" s="41">
        <v>90.0</v>
      </c>
      <c r="I87" s="42">
        <f>H87*$C$87</f>
        <v>9</v>
      </c>
    </row>
    <row r="88">
      <c r="A88" s="38" t="s">
        <v>111</v>
      </c>
      <c r="B88" s="39">
        <v>2.0</v>
      </c>
      <c r="C88" s="40">
        <f t="shared" si="18"/>
        <v>0.06666666667</v>
      </c>
      <c r="D88" s="41">
        <v>85.0</v>
      </c>
      <c r="E88" s="42">
        <f>D88*$C$88</f>
        <v>5.666666667</v>
      </c>
      <c r="F88" s="41">
        <v>60.0</v>
      </c>
      <c r="G88" s="42">
        <f>F88*$C$88</f>
        <v>4</v>
      </c>
      <c r="H88" s="41">
        <v>70.0</v>
      </c>
      <c r="I88" s="42">
        <f>H88*$C$88</f>
        <v>4.666666667</v>
      </c>
    </row>
    <row r="89">
      <c r="A89" s="38" t="s">
        <v>112</v>
      </c>
      <c r="B89" s="39">
        <v>3.0</v>
      </c>
      <c r="C89" s="40">
        <f t="shared" si="18"/>
        <v>0.1</v>
      </c>
      <c r="D89" s="41">
        <v>80.0</v>
      </c>
      <c r="E89" s="42">
        <f>D89*$C$89</f>
        <v>8</v>
      </c>
      <c r="F89" s="41">
        <v>60.0</v>
      </c>
      <c r="G89" s="42">
        <f>F89*$C$89</f>
        <v>6</v>
      </c>
      <c r="H89" s="41">
        <v>90.0</v>
      </c>
      <c r="I89" s="42">
        <f>H89*$C$89</f>
        <v>9</v>
      </c>
    </row>
    <row r="90">
      <c r="A90" s="38" t="s">
        <v>62</v>
      </c>
      <c r="B90" s="39">
        <v>2.0</v>
      </c>
      <c r="C90" s="40">
        <f t="shared" si="18"/>
        <v>0.06666666667</v>
      </c>
      <c r="D90" s="41">
        <v>90.0</v>
      </c>
      <c r="E90" s="42">
        <f>D90*$C$90</f>
        <v>6</v>
      </c>
      <c r="F90" s="41">
        <v>85.0</v>
      </c>
      <c r="G90" s="42">
        <f>F90*$C$90</f>
        <v>5.666666667</v>
      </c>
      <c r="H90" s="41">
        <v>70.0</v>
      </c>
      <c r="I90" s="42">
        <f>H90*$C$90</f>
        <v>4.666666667</v>
      </c>
    </row>
    <row r="91">
      <c r="A91" s="38" t="s">
        <v>33</v>
      </c>
      <c r="B91" s="39">
        <v>2.0</v>
      </c>
      <c r="C91" s="40">
        <f t="shared" si="18"/>
        <v>0.06666666667</v>
      </c>
      <c r="D91" s="41">
        <v>95.0</v>
      </c>
      <c r="E91" s="42">
        <f>D91*$C$91</f>
        <v>6.333333333</v>
      </c>
      <c r="F91" s="41">
        <v>85.0</v>
      </c>
      <c r="G91" s="42">
        <f>F91*$C$91</f>
        <v>5.666666667</v>
      </c>
      <c r="H91" s="41">
        <v>50.0</v>
      </c>
      <c r="I91" s="42">
        <f>H91*$C$91</f>
        <v>3.333333333</v>
      </c>
    </row>
    <row r="92">
      <c r="A92" s="38" t="s">
        <v>40</v>
      </c>
      <c r="B92" s="39">
        <v>3.0</v>
      </c>
      <c r="C92" s="40">
        <f t="shared" si="18"/>
        <v>0.1</v>
      </c>
      <c r="D92" s="41">
        <v>90.0</v>
      </c>
      <c r="E92" s="42">
        <f t="shared" ref="E92:E95" si="19">D92*$C$92</f>
        <v>9</v>
      </c>
      <c r="F92" s="41">
        <v>80.0</v>
      </c>
      <c r="G92" s="42">
        <f t="shared" ref="G92:G95" si="20">F92*$C$92</f>
        <v>8</v>
      </c>
      <c r="H92" s="41">
        <v>60.0</v>
      </c>
      <c r="I92" s="42">
        <f t="shared" ref="I92:I95" si="21">H92*$C$92</f>
        <v>6</v>
      </c>
    </row>
    <row r="93">
      <c r="A93" s="38" t="s">
        <v>113</v>
      </c>
      <c r="B93" s="39">
        <v>2.0</v>
      </c>
      <c r="C93" s="40">
        <f t="shared" si="18"/>
        <v>0.06666666667</v>
      </c>
      <c r="D93" s="41">
        <v>80.0</v>
      </c>
      <c r="E93" s="42">
        <f t="shared" si="19"/>
        <v>8</v>
      </c>
      <c r="F93" s="41">
        <v>90.0</v>
      </c>
      <c r="G93" s="42">
        <f t="shared" si="20"/>
        <v>9</v>
      </c>
      <c r="H93" s="41">
        <v>75.0</v>
      </c>
      <c r="I93" s="42">
        <f t="shared" si="21"/>
        <v>7.5</v>
      </c>
    </row>
    <row r="94">
      <c r="A94" s="38" t="s">
        <v>37</v>
      </c>
      <c r="B94" s="39">
        <v>3.0</v>
      </c>
      <c r="C94" s="40">
        <f t="shared" si="18"/>
        <v>0.1</v>
      </c>
      <c r="D94" s="41">
        <v>85.0</v>
      </c>
      <c r="E94" s="42">
        <f t="shared" si="19"/>
        <v>8.5</v>
      </c>
      <c r="F94" s="41">
        <v>75.0</v>
      </c>
      <c r="G94" s="42">
        <f t="shared" si="20"/>
        <v>7.5</v>
      </c>
      <c r="H94" s="41">
        <v>90.0</v>
      </c>
      <c r="I94" s="42">
        <f t="shared" si="21"/>
        <v>9</v>
      </c>
    </row>
    <row r="95">
      <c r="A95" s="38" t="s">
        <v>39</v>
      </c>
      <c r="B95" s="39">
        <v>2.0</v>
      </c>
      <c r="C95" s="40">
        <f t="shared" si="18"/>
        <v>0.06666666667</v>
      </c>
      <c r="D95" s="41">
        <v>90.0</v>
      </c>
      <c r="E95" s="42">
        <f t="shared" si="19"/>
        <v>9</v>
      </c>
      <c r="F95" s="41">
        <v>85.0</v>
      </c>
      <c r="G95" s="42">
        <f t="shared" si="20"/>
        <v>8.5</v>
      </c>
      <c r="H95" s="41">
        <v>80.0</v>
      </c>
      <c r="I95" s="42">
        <f t="shared" si="21"/>
        <v>8</v>
      </c>
    </row>
    <row r="96">
      <c r="A96" s="43" t="s">
        <v>18</v>
      </c>
      <c r="B96" s="44">
        <f t="shared" ref="B96:C96" si="22">SUM(B85:B95)</f>
        <v>30</v>
      </c>
      <c r="C96" s="45">
        <f t="shared" si="22"/>
        <v>1</v>
      </c>
      <c r="D96" s="47">
        <f>SUM(E85:E95)/100</f>
        <v>0.91</v>
      </c>
      <c r="E96" s="33"/>
      <c r="F96" s="46">
        <f>SUM(G85:G95)/100</f>
        <v>0.7966666667</v>
      </c>
      <c r="G96" s="33"/>
      <c r="H96" s="49">
        <f>SUM(I85:I95)/100</f>
        <v>0.865</v>
      </c>
      <c r="I96" s="33"/>
    </row>
    <row r="97">
      <c r="A97" s="30">
        <v>9.0</v>
      </c>
      <c r="B97" s="31" t="s">
        <v>114</v>
      </c>
      <c r="C97" s="3"/>
      <c r="D97" s="31" t="s">
        <v>115</v>
      </c>
      <c r="E97" s="3"/>
      <c r="F97" s="31" t="s">
        <v>116</v>
      </c>
      <c r="G97" s="3"/>
      <c r="H97" s="31" t="s">
        <v>117</v>
      </c>
      <c r="I97" s="3"/>
    </row>
    <row r="98">
      <c r="A98" s="38" t="s">
        <v>118</v>
      </c>
      <c r="B98" s="39">
        <v>4.0</v>
      </c>
      <c r="C98" s="40">
        <f t="shared" ref="C98:C106" si="23">B98/$B$107</f>
        <v>0.1333333333</v>
      </c>
      <c r="D98" s="41">
        <v>70.0</v>
      </c>
      <c r="E98" s="42">
        <f>D98*$C$98</f>
        <v>9.333333333</v>
      </c>
      <c r="F98" s="41">
        <v>90.0</v>
      </c>
      <c r="G98" s="42">
        <f>F98*$C$98</f>
        <v>12</v>
      </c>
      <c r="H98" s="41">
        <v>95.0</v>
      </c>
      <c r="I98" s="42">
        <f>H98*$C$98</f>
        <v>12.66666667</v>
      </c>
    </row>
    <row r="99">
      <c r="A99" s="38" t="s">
        <v>119</v>
      </c>
      <c r="B99" s="39">
        <v>3.0</v>
      </c>
      <c r="C99" s="40">
        <f t="shared" si="23"/>
        <v>0.1</v>
      </c>
      <c r="D99" s="41">
        <v>80.0</v>
      </c>
      <c r="E99" s="42">
        <f>D99*$C$99</f>
        <v>8</v>
      </c>
      <c r="F99" s="41">
        <v>85.0</v>
      </c>
      <c r="G99" s="42">
        <f>F99*$C$99</f>
        <v>8.5</v>
      </c>
      <c r="H99" s="41">
        <v>85.0</v>
      </c>
      <c r="I99" s="42">
        <f>H99*$C$99</f>
        <v>8.5</v>
      </c>
    </row>
    <row r="100">
      <c r="A100" s="38" t="s">
        <v>62</v>
      </c>
      <c r="B100" s="39">
        <v>3.0</v>
      </c>
      <c r="C100" s="40">
        <f t="shared" si="23"/>
        <v>0.1</v>
      </c>
      <c r="D100" s="41">
        <v>95.0</v>
      </c>
      <c r="E100" s="42">
        <f>D100*$C$100</f>
        <v>9.5</v>
      </c>
      <c r="F100" s="41">
        <v>85.0</v>
      </c>
      <c r="G100" s="42">
        <f>F100*$C$100</f>
        <v>8.5</v>
      </c>
      <c r="H100" s="41">
        <v>80.0</v>
      </c>
      <c r="I100" s="42">
        <f>H100*$C$100</f>
        <v>8</v>
      </c>
    </row>
    <row r="101">
      <c r="A101" s="38" t="s">
        <v>103</v>
      </c>
      <c r="B101" s="39">
        <v>4.0</v>
      </c>
      <c r="C101" s="40">
        <f t="shared" si="23"/>
        <v>0.1333333333</v>
      </c>
      <c r="D101" s="41">
        <v>90.0</v>
      </c>
      <c r="E101" s="42">
        <f>D101*$C$101</f>
        <v>12</v>
      </c>
      <c r="F101" s="41">
        <v>70.0</v>
      </c>
      <c r="G101" s="42">
        <f>F101*$C$101</f>
        <v>9.333333333</v>
      </c>
      <c r="H101" s="41">
        <v>75.0</v>
      </c>
      <c r="I101" s="42">
        <f>H101*$C$101</f>
        <v>10</v>
      </c>
    </row>
    <row r="102">
      <c r="A102" s="38" t="s">
        <v>33</v>
      </c>
      <c r="B102" s="39">
        <v>2.0</v>
      </c>
      <c r="C102" s="40">
        <f t="shared" si="23"/>
        <v>0.06666666667</v>
      </c>
      <c r="D102" s="41">
        <v>95.0</v>
      </c>
      <c r="E102" s="42">
        <f>D102*$C$102</f>
        <v>6.333333333</v>
      </c>
      <c r="F102" s="41">
        <v>80.0</v>
      </c>
      <c r="G102" s="42">
        <f>F102*$C$102</f>
        <v>5.333333333</v>
      </c>
      <c r="H102" s="41">
        <v>85.0</v>
      </c>
      <c r="I102" s="42">
        <f>H102*$C$102</f>
        <v>5.666666667</v>
      </c>
    </row>
    <row r="103">
      <c r="A103" s="38" t="s">
        <v>41</v>
      </c>
      <c r="B103" s="39">
        <v>2.0</v>
      </c>
      <c r="C103" s="40">
        <f t="shared" si="23"/>
        <v>0.06666666667</v>
      </c>
      <c r="D103" s="41">
        <v>90.0</v>
      </c>
      <c r="E103" s="42">
        <f>D103*$C$103</f>
        <v>6</v>
      </c>
      <c r="F103" s="41">
        <v>80.0</v>
      </c>
      <c r="G103" s="42">
        <f>F103*$C$103</f>
        <v>5.333333333</v>
      </c>
      <c r="H103" s="41">
        <v>70.0</v>
      </c>
      <c r="I103" s="42">
        <f>H103*$C$103</f>
        <v>4.666666667</v>
      </c>
    </row>
    <row r="104">
      <c r="A104" s="38" t="s">
        <v>120</v>
      </c>
      <c r="B104" s="39">
        <v>3.0</v>
      </c>
      <c r="C104" s="40">
        <f t="shared" si="23"/>
        <v>0.1</v>
      </c>
      <c r="D104" s="41">
        <v>85.0</v>
      </c>
      <c r="E104" s="42">
        <f t="shared" ref="E104:E106" si="24">D104*$C$104</f>
        <v>8.5</v>
      </c>
      <c r="F104" s="41">
        <v>80.0</v>
      </c>
      <c r="G104" s="42">
        <f t="shared" ref="G104:G106" si="25">F104*$C$104</f>
        <v>8</v>
      </c>
      <c r="H104" s="41">
        <v>90.0</v>
      </c>
      <c r="I104" s="42">
        <f t="shared" ref="I104:I106" si="26">H104*$C$104</f>
        <v>9</v>
      </c>
    </row>
    <row r="105">
      <c r="A105" s="38" t="s">
        <v>121</v>
      </c>
      <c r="B105" s="39">
        <v>5.0</v>
      </c>
      <c r="C105" s="40">
        <f t="shared" si="23"/>
        <v>0.1666666667</v>
      </c>
      <c r="D105" s="41">
        <v>95.0</v>
      </c>
      <c r="E105" s="42">
        <f t="shared" si="24"/>
        <v>9.5</v>
      </c>
      <c r="F105" s="41">
        <v>80.0</v>
      </c>
      <c r="G105" s="42">
        <f t="shared" si="25"/>
        <v>8</v>
      </c>
      <c r="H105" s="41">
        <v>85.0</v>
      </c>
      <c r="I105" s="42">
        <f t="shared" si="26"/>
        <v>8.5</v>
      </c>
    </row>
    <row r="106">
      <c r="A106" s="38" t="s">
        <v>37</v>
      </c>
      <c r="B106" s="39">
        <v>4.0</v>
      </c>
      <c r="C106" s="40">
        <f t="shared" si="23"/>
        <v>0.1333333333</v>
      </c>
      <c r="D106" s="41">
        <v>90.0</v>
      </c>
      <c r="E106" s="42">
        <f t="shared" si="24"/>
        <v>9</v>
      </c>
      <c r="F106" s="41">
        <v>85.0</v>
      </c>
      <c r="G106" s="42">
        <f t="shared" si="25"/>
        <v>8.5</v>
      </c>
      <c r="H106" s="41">
        <v>85.0</v>
      </c>
      <c r="I106" s="42">
        <f t="shared" si="26"/>
        <v>8.5</v>
      </c>
    </row>
    <row r="107">
      <c r="A107" s="43" t="s">
        <v>18</v>
      </c>
      <c r="B107" s="44">
        <f t="shared" ref="B107:C107" si="27">SUM(B98:B106)</f>
        <v>30</v>
      </c>
      <c r="C107" s="45">
        <f t="shared" si="27"/>
        <v>1</v>
      </c>
      <c r="D107" s="47">
        <f>SUM(E98:E106)/100</f>
        <v>0.7816666667</v>
      </c>
      <c r="E107" s="33"/>
      <c r="F107" s="49">
        <f>SUM(G98:G106)/100</f>
        <v>0.735</v>
      </c>
      <c r="G107" s="33"/>
      <c r="H107" s="46">
        <f>SUM(I98:I106)/100</f>
        <v>0.755</v>
      </c>
      <c r="I107" s="33"/>
    </row>
    <row r="108">
      <c r="A108" s="30">
        <v>10.0</v>
      </c>
      <c r="B108" s="31" t="s">
        <v>122</v>
      </c>
      <c r="C108" s="3"/>
      <c r="D108" s="31" t="s">
        <v>123</v>
      </c>
      <c r="E108" s="3"/>
      <c r="F108" s="31" t="s">
        <v>124</v>
      </c>
      <c r="G108" s="3"/>
      <c r="H108" s="31" t="s">
        <v>125</v>
      </c>
      <c r="I108" s="3"/>
    </row>
    <row r="109">
      <c r="A109" s="38" t="s">
        <v>126</v>
      </c>
      <c r="B109" s="39">
        <v>5.0</v>
      </c>
      <c r="C109" s="40">
        <f t="shared" ref="C109:C118" si="28">B109/$B$119</f>
        <v>0.1666666667</v>
      </c>
      <c r="D109" s="41">
        <v>90.0</v>
      </c>
      <c r="E109" s="42">
        <f>D109*$C$109</f>
        <v>15</v>
      </c>
      <c r="F109" s="41">
        <v>95.0</v>
      </c>
      <c r="G109" s="42">
        <f>F109*$C$109</f>
        <v>15.83333333</v>
      </c>
      <c r="H109" s="41">
        <v>80.0</v>
      </c>
      <c r="I109" s="42">
        <f>H109*$C$109</f>
        <v>13.33333333</v>
      </c>
    </row>
    <row r="110">
      <c r="A110" s="38" t="s">
        <v>37</v>
      </c>
      <c r="B110" s="39">
        <v>4.0</v>
      </c>
      <c r="C110" s="40">
        <f t="shared" si="28"/>
        <v>0.1333333333</v>
      </c>
      <c r="D110" s="41">
        <v>80.0</v>
      </c>
      <c r="E110" s="42">
        <f>D110*$C$110</f>
        <v>10.66666667</v>
      </c>
      <c r="F110" s="41">
        <v>90.0</v>
      </c>
      <c r="G110" s="42">
        <f>F110*$C$110</f>
        <v>12</v>
      </c>
      <c r="H110" s="41">
        <v>85.0</v>
      </c>
      <c r="I110" s="42">
        <f>H110*$C$110</f>
        <v>11.33333333</v>
      </c>
    </row>
    <row r="111">
      <c r="A111" s="38" t="s">
        <v>127</v>
      </c>
      <c r="B111" s="39">
        <v>3.0</v>
      </c>
      <c r="C111" s="40">
        <f t="shared" si="28"/>
        <v>0.1</v>
      </c>
      <c r="D111" s="41">
        <v>75.0</v>
      </c>
      <c r="E111" s="42">
        <f>D111*$C$111</f>
        <v>7.5</v>
      </c>
      <c r="F111" s="41">
        <v>85.0</v>
      </c>
      <c r="G111" s="42">
        <f>F111*$C$111</f>
        <v>8.5</v>
      </c>
      <c r="H111" s="41">
        <v>65.0</v>
      </c>
      <c r="I111" s="42">
        <f>H111*$C$111</f>
        <v>6.5</v>
      </c>
    </row>
    <row r="112">
      <c r="A112" s="38" t="s">
        <v>128</v>
      </c>
      <c r="B112" s="39">
        <v>3.0</v>
      </c>
      <c r="C112" s="40">
        <f t="shared" si="28"/>
        <v>0.1</v>
      </c>
      <c r="D112" s="41">
        <v>85.0</v>
      </c>
      <c r="E112" s="42">
        <f>D112*$C$112</f>
        <v>8.5</v>
      </c>
      <c r="F112" s="41">
        <v>90.0</v>
      </c>
      <c r="G112" s="42">
        <f>F112*$C$112</f>
        <v>9</v>
      </c>
      <c r="H112" s="41">
        <v>85.0</v>
      </c>
      <c r="I112" s="42">
        <f>H112*$C$112</f>
        <v>8.5</v>
      </c>
    </row>
    <row r="113">
      <c r="A113" s="38" t="s">
        <v>84</v>
      </c>
      <c r="B113" s="39">
        <v>2.0</v>
      </c>
      <c r="C113" s="40">
        <f t="shared" si="28"/>
        <v>0.06666666667</v>
      </c>
      <c r="D113" s="41">
        <v>70.0</v>
      </c>
      <c r="E113" s="42">
        <f>D113*$C$113</f>
        <v>4.666666667</v>
      </c>
      <c r="F113" s="41">
        <v>85.0</v>
      </c>
      <c r="G113" s="42">
        <f>F113*$C$113</f>
        <v>5.666666667</v>
      </c>
      <c r="H113" s="41">
        <v>95.0</v>
      </c>
      <c r="I113" s="42">
        <f>H113*$C$113</f>
        <v>6.333333333</v>
      </c>
    </row>
    <row r="114">
      <c r="A114" s="38" t="s">
        <v>129</v>
      </c>
      <c r="B114" s="39">
        <v>3.0</v>
      </c>
      <c r="C114" s="40">
        <f t="shared" si="28"/>
        <v>0.1</v>
      </c>
      <c r="D114" s="41">
        <v>90.0</v>
      </c>
      <c r="E114" s="42">
        <f>D114*$C$114</f>
        <v>9</v>
      </c>
      <c r="F114" s="41">
        <v>80.0</v>
      </c>
      <c r="G114" s="42">
        <f>F114*$C$114</f>
        <v>8</v>
      </c>
      <c r="H114" s="41">
        <v>85.0</v>
      </c>
      <c r="I114" s="42">
        <f>H114*$C$114</f>
        <v>8.5</v>
      </c>
    </row>
    <row r="115">
      <c r="A115" s="38" t="s">
        <v>81</v>
      </c>
      <c r="B115" s="39">
        <v>2.0</v>
      </c>
      <c r="C115" s="40">
        <f t="shared" si="28"/>
        <v>0.06666666667</v>
      </c>
      <c r="D115" s="41">
        <v>70.0</v>
      </c>
      <c r="E115" s="42">
        <f t="shared" ref="E115:E118" si="29">D115*$C$115</f>
        <v>4.666666667</v>
      </c>
      <c r="F115" s="41">
        <v>80.0</v>
      </c>
      <c r="G115" s="42">
        <f t="shared" ref="G115:G118" si="30">F115*$C$115</f>
        <v>5.333333333</v>
      </c>
      <c r="H115" s="41">
        <v>90.0</v>
      </c>
      <c r="I115" s="42">
        <f t="shared" ref="I115:I118" si="31">H115*$C$115</f>
        <v>6</v>
      </c>
    </row>
    <row r="116">
      <c r="A116" s="38" t="s">
        <v>51</v>
      </c>
      <c r="B116" s="39">
        <v>3.0</v>
      </c>
      <c r="C116" s="40">
        <f t="shared" si="28"/>
        <v>0.1</v>
      </c>
      <c r="D116" s="41">
        <v>95.0</v>
      </c>
      <c r="E116" s="42">
        <f t="shared" si="29"/>
        <v>6.333333333</v>
      </c>
      <c r="F116" s="41">
        <v>95.0</v>
      </c>
      <c r="G116" s="42">
        <f t="shared" si="30"/>
        <v>6.333333333</v>
      </c>
      <c r="H116" s="41">
        <v>50.0</v>
      </c>
      <c r="I116" s="42">
        <f t="shared" si="31"/>
        <v>3.333333333</v>
      </c>
    </row>
    <row r="117">
      <c r="A117" s="38" t="s">
        <v>130</v>
      </c>
      <c r="B117" s="39">
        <v>3.0</v>
      </c>
      <c r="C117" s="40">
        <f t="shared" si="28"/>
        <v>0.1</v>
      </c>
      <c r="D117" s="41">
        <v>80.0</v>
      </c>
      <c r="E117" s="42">
        <f t="shared" si="29"/>
        <v>5.333333333</v>
      </c>
      <c r="F117" s="41">
        <v>95.0</v>
      </c>
      <c r="G117" s="42">
        <f t="shared" si="30"/>
        <v>6.333333333</v>
      </c>
      <c r="H117" s="41">
        <v>75.0</v>
      </c>
      <c r="I117" s="42">
        <f t="shared" si="31"/>
        <v>5</v>
      </c>
    </row>
    <row r="118">
      <c r="A118" s="38" t="s">
        <v>131</v>
      </c>
      <c r="B118" s="39">
        <v>2.0</v>
      </c>
      <c r="C118" s="40">
        <f t="shared" si="28"/>
        <v>0.06666666667</v>
      </c>
      <c r="D118" s="41">
        <v>95.0</v>
      </c>
      <c r="E118" s="42">
        <f t="shared" si="29"/>
        <v>6.333333333</v>
      </c>
      <c r="F118" s="41">
        <v>95.0</v>
      </c>
      <c r="G118" s="42">
        <f t="shared" si="30"/>
        <v>6.333333333</v>
      </c>
      <c r="H118" s="41">
        <v>60.0</v>
      </c>
      <c r="I118" s="42">
        <f t="shared" si="31"/>
        <v>4</v>
      </c>
    </row>
    <row r="119">
      <c r="A119" s="43" t="s">
        <v>18</v>
      </c>
      <c r="B119" s="44">
        <f t="shared" ref="B119:C119" si="32">SUM(B109:B118)</f>
        <v>30</v>
      </c>
      <c r="C119" s="45">
        <f t="shared" si="32"/>
        <v>1</v>
      </c>
      <c r="D119" s="46">
        <f>SUM(E109:E118)/100</f>
        <v>0.78</v>
      </c>
      <c r="E119" s="33"/>
      <c r="F119" s="47">
        <f>SUM(G109:G118)/100</f>
        <v>0.8333333333</v>
      </c>
      <c r="G119" s="33"/>
      <c r="H119" s="46">
        <f>SUM(I109:I118)/100</f>
        <v>0.7283333333</v>
      </c>
      <c r="I119" s="33"/>
    </row>
    <row r="120">
      <c r="A120" s="30">
        <v>11.0</v>
      </c>
      <c r="B120" s="31" t="s">
        <v>132</v>
      </c>
      <c r="C120" s="3"/>
      <c r="D120" s="31" t="s">
        <v>133</v>
      </c>
      <c r="E120" s="3"/>
      <c r="F120" s="31" t="s">
        <v>134</v>
      </c>
      <c r="G120" s="3"/>
      <c r="H120" s="31" t="s">
        <v>135</v>
      </c>
      <c r="I120" s="3"/>
    </row>
    <row r="121">
      <c r="A121" s="48" t="s">
        <v>136</v>
      </c>
      <c r="B121" s="39">
        <v>4.0</v>
      </c>
      <c r="C121" s="40">
        <f t="shared" ref="C121:C130" si="33">B121/$B$131</f>
        <v>0.1333333333</v>
      </c>
      <c r="D121" s="41">
        <v>90.0</v>
      </c>
      <c r="E121" s="42">
        <f>D121*$C$121</f>
        <v>12</v>
      </c>
      <c r="F121" s="41">
        <v>80.0</v>
      </c>
      <c r="G121" s="42">
        <f>F121*$C$121</f>
        <v>10.66666667</v>
      </c>
      <c r="H121" s="41">
        <v>75.0</v>
      </c>
      <c r="I121" s="42">
        <f>H121*$C$121</f>
        <v>10</v>
      </c>
    </row>
    <row r="122">
      <c r="A122" s="38" t="s">
        <v>52</v>
      </c>
      <c r="B122" s="39">
        <v>5.0</v>
      </c>
      <c r="C122" s="40">
        <f t="shared" si="33"/>
        <v>0.1666666667</v>
      </c>
      <c r="D122" s="41">
        <v>75.0</v>
      </c>
      <c r="E122" s="42">
        <f>D122*$C$122</f>
        <v>12.5</v>
      </c>
      <c r="F122" s="41">
        <v>85.0</v>
      </c>
      <c r="G122" s="42">
        <f>F122*$C$122</f>
        <v>14.16666667</v>
      </c>
      <c r="H122" s="41">
        <v>70.0</v>
      </c>
      <c r="I122" s="42">
        <f>H122*$C$122</f>
        <v>11.66666667</v>
      </c>
    </row>
    <row r="123">
      <c r="A123" s="38" t="s">
        <v>137</v>
      </c>
      <c r="B123" s="39">
        <v>3.0</v>
      </c>
      <c r="C123" s="40">
        <f t="shared" si="33"/>
        <v>0.1</v>
      </c>
      <c r="D123" s="41">
        <v>70.0</v>
      </c>
      <c r="E123" s="42">
        <f>D123*$C$123</f>
        <v>7</v>
      </c>
      <c r="F123" s="41">
        <v>90.0</v>
      </c>
      <c r="G123" s="42">
        <f>F123*$C$123</f>
        <v>9</v>
      </c>
      <c r="H123" s="41">
        <v>95.0</v>
      </c>
      <c r="I123" s="42">
        <f>H123*$C$123</f>
        <v>9.5</v>
      </c>
    </row>
    <row r="124">
      <c r="A124" s="38" t="s">
        <v>138</v>
      </c>
      <c r="B124" s="39">
        <v>3.0</v>
      </c>
      <c r="C124" s="40">
        <f t="shared" si="33"/>
        <v>0.1</v>
      </c>
      <c r="D124" s="41">
        <v>85.0</v>
      </c>
      <c r="E124" s="42">
        <f>D124*$C$124</f>
        <v>8.5</v>
      </c>
      <c r="F124" s="41">
        <v>90.0</v>
      </c>
      <c r="G124" s="42">
        <f>F124*$C$124</f>
        <v>9</v>
      </c>
      <c r="H124" s="41">
        <v>90.0</v>
      </c>
      <c r="I124" s="42">
        <f>H124*$C$124</f>
        <v>9</v>
      </c>
    </row>
    <row r="125">
      <c r="A125" s="38" t="s">
        <v>139</v>
      </c>
      <c r="B125" s="39">
        <v>2.0</v>
      </c>
      <c r="C125" s="40">
        <f t="shared" si="33"/>
        <v>0.06666666667</v>
      </c>
      <c r="D125" s="41">
        <v>60.0</v>
      </c>
      <c r="E125" s="42">
        <f>D125*$C$125</f>
        <v>4</v>
      </c>
      <c r="F125" s="41">
        <v>95.0</v>
      </c>
      <c r="G125" s="42">
        <f>D125*$C$125</f>
        <v>4</v>
      </c>
      <c r="H125" s="41">
        <v>95.0</v>
      </c>
      <c r="I125" s="42">
        <f>D125*$C$125</f>
        <v>4</v>
      </c>
    </row>
    <row r="126">
      <c r="A126" s="38" t="s">
        <v>140</v>
      </c>
      <c r="B126" s="39">
        <v>3.0</v>
      </c>
      <c r="C126" s="40">
        <f t="shared" si="33"/>
        <v>0.1</v>
      </c>
      <c r="D126" s="41">
        <v>90.0</v>
      </c>
      <c r="E126" s="42">
        <f>D125*$C$125</f>
        <v>4</v>
      </c>
      <c r="F126" s="41">
        <v>85.0</v>
      </c>
      <c r="G126" s="42">
        <f>D125*$C$125</f>
        <v>4</v>
      </c>
      <c r="H126" s="41">
        <v>80.0</v>
      </c>
      <c r="I126" s="42">
        <f>D125*$C$125</f>
        <v>4</v>
      </c>
    </row>
    <row r="127">
      <c r="A127" s="38" t="s">
        <v>141</v>
      </c>
      <c r="B127" s="39">
        <v>2.0</v>
      </c>
      <c r="C127" s="40">
        <f t="shared" si="33"/>
        <v>0.06666666667</v>
      </c>
      <c r="D127" s="41">
        <v>70.0</v>
      </c>
      <c r="E127" s="42">
        <f t="shared" ref="E127:E130" si="34">D127*$C$127</f>
        <v>4.666666667</v>
      </c>
      <c r="F127" s="41">
        <v>90.0</v>
      </c>
      <c r="G127" s="42">
        <f t="shared" ref="G127:G130" si="35">F127*$C$127</f>
        <v>6</v>
      </c>
      <c r="H127" s="41">
        <v>85.0</v>
      </c>
      <c r="I127" s="42">
        <f t="shared" ref="I127:I130" si="36">H127*$C$127</f>
        <v>5.666666667</v>
      </c>
    </row>
    <row r="128">
      <c r="A128" s="38" t="s">
        <v>142</v>
      </c>
      <c r="B128" s="39">
        <v>3.0</v>
      </c>
      <c r="C128" s="40">
        <f t="shared" si="33"/>
        <v>0.1</v>
      </c>
      <c r="D128" s="41">
        <v>65.0</v>
      </c>
      <c r="E128" s="42">
        <f t="shared" si="34"/>
        <v>4.333333333</v>
      </c>
      <c r="F128" s="41">
        <v>90.0</v>
      </c>
      <c r="G128" s="42">
        <f t="shared" si="35"/>
        <v>6</v>
      </c>
      <c r="H128" s="41">
        <v>95.0</v>
      </c>
      <c r="I128" s="42">
        <f t="shared" si="36"/>
        <v>6.333333333</v>
      </c>
    </row>
    <row r="129">
      <c r="A129" s="38" t="s">
        <v>143</v>
      </c>
      <c r="B129" s="39">
        <v>3.0</v>
      </c>
      <c r="C129" s="40">
        <f t="shared" si="33"/>
        <v>0.1</v>
      </c>
      <c r="D129" s="41">
        <v>70.0</v>
      </c>
      <c r="E129" s="42">
        <f t="shared" si="34"/>
        <v>4.666666667</v>
      </c>
      <c r="F129" s="41">
        <v>85.0</v>
      </c>
      <c r="G129" s="42">
        <f t="shared" si="35"/>
        <v>5.666666667</v>
      </c>
      <c r="H129" s="41">
        <v>80.0</v>
      </c>
      <c r="I129" s="42">
        <f t="shared" si="36"/>
        <v>5.333333333</v>
      </c>
    </row>
    <row r="130">
      <c r="A130" s="38" t="s">
        <v>144</v>
      </c>
      <c r="B130" s="39">
        <v>2.0</v>
      </c>
      <c r="C130" s="40">
        <f t="shared" si="33"/>
        <v>0.06666666667</v>
      </c>
      <c r="D130" s="41">
        <v>85.0</v>
      </c>
      <c r="E130" s="42">
        <f t="shared" si="34"/>
        <v>5.666666667</v>
      </c>
      <c r="F130" s="41">
        <v>80.0</v>
      </c>
      <c r="G130" s="42">
        <f t="shared" si="35"/>
        <v>5.333333333</v>
      </c>
      <c r="H130" s="41">
        <v>70.0</v>
      </c>
      <c r="I130" s="42">
        <f t="shared" si="36"/>
        <v>4.666666667</v>
      </c>
    </row>
    <row r="131">
      <c r="A131" s="43" t="s">
        <v>18</v>
      </c>
      <c r="B131" s="44">
        <f t="shared" ref="B131:C131" si="37">SUM(B121:B130)</f>
        <v>30</v>
      </c>
      <c r="C131" s="45">
        <f t="shared" si="37"/>
        <v>1</v>
      </c>
      <c r="D131" s="46">
        <f>SUM(E121:E130)/100</f>
        <v>0.6733333333</v>
      </c>
      <c r="E131" s="33"/>
      <c r="F131" s="47">
        <f>SUM(G121:G130)/100</f>
        <v>0.7383333333</v>
      </c>
      <c r="G131" s="33"/>
      <c r="H131" s="49">
        <f>SUM(I121:I130)/100</f>
        <v>0.7016666667</v>
      </c>
      <c r="I131" s="33"/>
    </row>
    <row r="132">
      <c r="A132" s="30">
        <v>12.0</v>
      </c>
      <c r="B132" s="31" t="s">
        <v>145</v>
      </c>
      <c r="C132" s="3"/>
      <c r="D132" s="31" t="s">
        <v>146</v>
      </c>
      <c r="E132" s="3"/>
      <c r="F132" s="31" t="s">
        <v>147</v>
      </c>
      <c r="G132" s="3"/>
      <c r="H132" s="31" t="s">
        <v>148</v>
      </c>
      <c r="I132" s="3"/>
    </row>
    <row r="133">
      <c r="A133" s="38" t="s">
        <v>60</v>
      </c>
      <c r="B133" s="39">
        <v>5.0</v>
      </c>
      <c r="C133" s="40">
        <f t="shared" ref="C133:C142" si="38">B133/$B$143</f>
        <v>0.1666666667</v>
      </c>
      <c r="D133" s="41">
        <v>95.0</v>
      </c>
      <c r="E133" s="42">
        <f>D133*$C$133</f>
        <v>15.83333333</v>
      </c>
      <c r="F133" s="41">
        <v>75.0</v>
      </c>
      <c r="G133" s="42">
        <f>F133*$C$133</f>
        <v>12.5</v>
      </c>
      <c r="H133" s="41">
        <v>65.0</v>
      </c>
      <c r="I133" s="42">
        <f>H133*$C$133</f>
        <v>10.83333333</v>
      </c>
    </row>
    <row r="134">
      <c r="A134" s="38" t="s">
        <v>149</v>
      </c>
      <c r="B134" s="39">
        <v>4.0</v>
      </c>
      <c r="C134" s="40">
        <f t="shared" si="38"/>
        <v>0.1333333333</v>
      </c>
      <c r="D134" s="41">
        <v>70.0</v>
      </c>
      <c r="E134" s="42">
        <f>D134*$C$134</f>
        <v>9.333333333</v>
      </c>
      <c r="F134" s="41">
        <v>90.0</v>
      </c>
      <c r="G134" s="42">
        <f>F134*$C$134</f>
        <v>12</v>
      </c>
      <c r="H134" s="41">
        <v>80.0</v>
      </c>
      <c r="I134" s="42">
        <f>H134*$C$134</f>
        <v>10.66666667</v>
      </c>
    </row>
    <row r="135">
      <c r="A135" s="38" t="s">
        <v>150</v>
      </c>
      <c r="B135" s="39">
        <v>2.0</v>
      </c>
      <c r="C135" s="40">
        <f t="shared" si="38"/>
        <v>0.06666666667</v>
      </c>
      <c r="D135" s="41">
        <v>80.0</v>
      </c>
      <c r="E135" s="42">
        <f>D135*$C$135</f>
        <v>5.333333333</v>
      </c>
      <c r="F135" s="41">
        <v>85.0</v>
      </c>
      <c r="G135" s="42">
        <f>F135*$C$135</f>
        <v>5.666666667</v>
      </c>
      <c r="H135" s="41">
        <v>90.0</v>
      </c>
      <c r="I135" s="42">
        <f>H135*$C$135</f>
        <v>6</v>
      </c>
    </row>
    <row r="136">
      <c r="A136" s="38" t="s">
        <v>33</v>
      </c>
      <c r="B136" s="39">
        <v>3.0</v>
      </c>
      <c r="C136" s="40">
        <f t="shared" si="38"/>
        <v>0.1</v>
      </c>
      <c r="D136" s="41">
        <v>70.0</v>
      </c>
      <c r="E136" s="42">
        <f>D136*$C$136</f>
        <v>7</v>
      </c>
      <c r="F136" s="41">
        <v>85.0</v>
      </c>
      <c r="G136" s="42">
        <f>F136*$C$136</f>
        <v>8.5</v>
      </c>
      <c r="H136" s="41">
        <v>95.0</v>
      </c>
      <c r="I136" s="42">
        <f>H136*$C$136</f>
        <v>9.5</v>
      </c>
    </row>
    <row r="137">
      <c r="A137" s="38" t="s">
        <v>151</v>
      </c>
      <c r="B137" s="39">
        <v>3.0</v>
      </c>
      <c r="C137" s="40">
        <f t="shared" si="38"/>
        <v>0.1</v>
      </c>
      <c r="D137" s="41">
        <v>85.0</v>
      </c>
      <c r="E137" s="42">
        <f>D137*$C$137</f>
        <v>8.5</v>
      </c>
      <c r="F137" s="41">
        <v>90.0</v>
      </c>
      <c r="G137" s="42">
        <f>F137*$C$137</f>
        <v>9</v>
      </c>
      <c r="H137" s="41">
        <v>75.0</v>
      </c>
      <c r="I137" s="42">
        <f>H137*$C$137</f>
        <v>7.5</v>
      </c>
    </row>
    <row r="138">
      <c r="A138" s="38" t="s">
        <v>152</v>
      </c>
      <c r="B138" s="39">
        <v>3.0</v>
      </c>
      <c r="C138" s="40">
        <f t="shared" si="38"/>
        <v>0.1</v>
      </c>
      <c r="D138" s="41">
        <v>70.0</v>
      </c>
      <c r="E138" s="42">
        <f t="shared" ref="E138:E142" si="39">D138*$C$138</f>
        <v>7</v>
      </c>
      <c r="F138" s="41">
        <v>95.0</v>
      </c>
      <c r="G138" s="42">
        <f t="shared" ref="G138:G142" si="40">F138*$C$138</f>
        <v>9.5</v>
      </c>
      <c r="H138" s="41">
        <v>65.0</v>
      </c>
      <c r="I138" s="42">
        <f t="shared" ref="I138:I142" si="41">H138*$C$138</f>
        <v>6.5</v>
      </c>
    </row>
    <row r="139">
      <c r="A139" s="38" t="s">
        <v>153</v>
      </c>
      <c r="B139" s="39">
        <v>3.0</v>
      </c>
      <c r="C139" s="40">
        <f t="shared" si="38"/>
        <v>0.1</v>
      </c>
      <c r="D139" s="41">
        <v>90.0</v>
      </c>
      <c r="E139" s="42">
        <f t="shared" si="39"/>
        <v>9</v>
      </c>
      <c r="F139" s="41">
        <v>70.0</v>
      </c>
      <c r="G139" s="42">
        <f t="shared" si="40"/>
        <v>7</v>
      </c>
      <c r="H139" s="41">
        <v>65.0</v>
      </c>
      <c r="I139" s="42">
        <f t="shared" si="41"/>
        <v>6.5</v>
      </c>
    </row>
    <row r="140">
      <c r="A140" s="38" t="s">
        <v>154</v>
      </c>
      <c r="B140" s="39">
        <v>2.0</v>
      </c>
      <c r="C140" s="40">
        <f t="shared" si="38"/>
        <v>0.06666666667</v>
      </c>
      <c r="D140" s="41">
        <v>80.0</v>
      </c>
      <c r="E140" s="42">
        <f t="shared" si="39"/>
        <v>8</v>
      </c>
      <c r="F140" s="41">
        <v>75.0</v>
      </c>
      <c r="G140" s="42">
        <f t="shared" si="40"/>
        <v>7.5</v>
      </c>
      <c r="H140" s="41">
        <v>60.0</v>
      </c>
      <c r="I140" s="42">
        <f t="shared" si="41"/>
        <v>6</v>
      </c>
    </row>
    <row r="141">
      <c r="A141" s="38" t="s">
        <v>155</v>
      </c>
      <c r="B141" s="39">
        <v>3.0</v>
      </c>
      <c r="C141" s="40">
        <f t="shared" si="38"/>
        <v>0.1</v>
      </c>
      <c r="D141" s="41">
        <v>75.0</v>
      </c>
      <c r="E141" s="42">
        <f t="shared" si="39"/>
        <v>7.5</v>
      </c>
      <c r="F141" s="41">
        <v>85.0</v>
      </c>
      <c r="G141" s="42">
        <f t="shared" si="40"/>
        <v>8.5</v>
      </c>
      <c r="H141" s="41">
        <v>85.0</v>
      </c>
      <c r="I141" s="42">
        <f t="shared" si="41"/>
        <v>8.5</v>
      </c>
    </row>
    <row r="142">
      <c r="A142" s="38" t="s">
        <v>156</v>
      </c>
      <c r="B142" s="39">
        <v>2.0</v>
      </c>
      <c r="C142" s="40">
        <f t="shared" si="38"/>
        <v>0.06666666667</v>
      </c>
      <c r="D142" s="41">
        <v>90.0</v>
      </c>
      <c r="E142" s="42">
        <f t="shared" si="39"/>
        <v>9</v>
      </c>
      <c r="F142" s="41">
        <v>85.0</v>
      </c>
      <c r="G142" s="42">
        <f t="shared" si="40"/>
        <v>8.5</v>
      </c>
      <c r="H142" s="41">
        <v>80.0</v>
      </c>
      <c r="I142" s="42">
        <f t="shared" si="41"/>
        <v>8</v>
      </c>
    </row>
    <row r="143">
      <c r="A143" s="43" t="s">
        <v>18</v>
      </c>
      <c r="B143" s="44">
        <f t="shared" ref="B143:C143" si="42">SUM(B133:B142)</f>
        <v>30</v>
      </c>
      <c r="C143" s="45">
        <f t="shared" si="42"/>
        <v>1</v>
      </c>
      <c r="D143" s="47">
        <f>SUM(E133:E142)/100</f>
        <v>0.865</v>
      </c>
      <c r="E143" s="33"/>
      <c r="F143" s="46">
        <f>SUM(G133:G142)/100</f>
        <v>0.8866666667</v>
      </c>
      <c r="G143" s="33"/>
      <c r="H143" s="46">
        <f>SUM(I133:I142)/100</f>
        <v>0.8</v>
      </c>
      <c r="I143" s="33"/>
    </row>
  </sheetData>
  <mergeCells count="97">
    <mergeCell ref="D54:E54"/>
    <mergeCell ref="F54:G54"/>
    <mergeCell ref="H54:I54"/>
    <mergeCell ref="B55:C55"/>
    <mergeCell ref="D55:E55"/>
    <mergeCell ref="F55:G55"/>
    <mergeCell ref="H55:I55"/>
    <mergeCell ref="D63:E63"/>
    <mergeCell ref="F63:G63"/>
    <mergeCell ref="H63:I63"/>
    <mergeCell ref="B64:C64"/>
    <mergeCell ref="D64:E64"/>
    <mergeCell ref="F64:G64"/>
    <mergeCell ref="H64:I64"/>
    <mergeCell ref="D73:E73"/>
    <mergeCell ref="F73:G73"/>
    <mergeCell ref="H73:I73"/>
    <mergeCell ref="B74:C74"/>
    <mergeCell ref="D74:E74"/>
    <mergeCell ref="F74:G74"/>
    <mergeCell ref="H74:I74"/>
    <mergeCell ref="D83:E83"/>
    <mergeCell ref="F83:G83"/>
    <mergeCell ref="H83:I83"/>
    <mergeCell ref="B84:C84"/>
    <mergeCell ref="D84:E84"/>
    <mergeCell ref="F84:G84"/>
    <mergeCell ref="H84:I84"/>
    <mergeCell ref="D96:E96"/>
    <mergeCell ref="F96:G96"/>
    <mergeCell ref="H96:I96"/>
    <mergeCell ref="B97:C97"/>
    <mergeCell ref="D97:E97"/>
    <mergeCell ref="F97:G97"/>
    <mergeCell ref="H97:I97"/>
    <mergeCell ref="D107:E107"/>
    <mergeCell ref="F107:G107"/>
    <mergeCell ref="H107:I107"/>
    <mergeCell ref="B108:C108"/>
    <mergeCell ref="D108:E108"/>
    <mergeCell ref="F108:G108"/>
    <mergeCell ref="H108:I108"/>
    <mergeCell ref="D119:E119"/>
    <mergeCell ref="F119:G119"/>
    <mergeCell ref="H119:I119"/>
    <mergeCell ref="B120:C120"/>
    <mergeCell ref="D120:E120"/>
    <mergeCell ref="F120:G120"/>
    <mergeCell ref="H120:I120"/>
    <mergeCell ref="D131:E131"/>
    <mergeCell ref="F131:G131"/>
    <mergeCell ref="H131:I131"/>
    <mergeCell ref="B132:C132"/>
    <mergeCell ref="D132:E132"/>
    <mergeCell ref="F132:G132"/>
    <mergeCell ref="H132:I132"/>
    <mergeCell ref="B5:C5"/>
    <mergeCell ref="D5:E5"/>
    <mergeCell ref="F5:G5"/>
    <mergeCell ref="H5:I5"/>
    <mergeCell ref="D6:E6"/>
    <mergeCell ref="F6:G6"/>
    <mergeCell ref="H6:I6"/>
    <mergeCell ref="G7:G11"/>
    <mergeCell ref="H7:H11"/>
    <mergeCell ref="I7:I11"/>
    <mergeCell ref="B6:C6"/>
    <mergeCell ref="A7:A10"/>
    <mergeCell ref="B7:B11"/>
    <mergeCell ref="C7:C11"/>
    <mergeCell ref="D7:D11"/>
    <mergeCell ref="E7:E11"/>
    <mergeCell ref="F7:F11"/>
    <mergeCell ref="D21:E21"/>
    <mergeCell ref="F21:G21"/>
    <mergeCell ref="H21:I21"/>
    <mergeCell ref="B22:C22"/>
    <mergeCell ref="D22:E22"/>
    <mergeCell ref="F22:G22"/>
    <mergeCell ref="H22:I22"/>
    <mergeCell ref="D32:E32"/>
    <mergeCell ref="F32:G32"/>
    <mergeCell ref="H32:I32"/>
    <mergeCell ref="B33:C33"/>
    <mergeCell ref="D33:E33"/>
    <mergeCell ref="F33:G33"/>
    <mergeCell ref="H33:I33"/>
    <mergeCell ref="D43:E43"/>
    <mergeCell ref="F43:G43"/>
    <mergeCell ref="H43:I43"/>
    <mergeCell ref="B44:C44"/>
    <mergeCell ref="D44:E44"/>
    <mergeCell ref="F44:G44"/>
    <mergeCell ref="H44:I44"/>
    <mergeCell ref="D143:E143"/>
    <mergeCell ref="F143:G143"/>
    <mergeCell ref="H143:I143"/>
  </mergeCells>
  <printOptions horizontalCentered="1"/>
  <pageMargins bottom="0.75" footer="0.0" header="0.0" left="0.25" right="0.25" top="0.75"/>
  <pageSetup fitToHeight="0" paperSize="9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18.86"/>
    <col customWidth="1" min="7" max="7" width="16.29"/>
  </cols>
  <sheetData>
    <row r="1">
      <c r="A1" s="22" t="s">
        <v>21</v>
      </c>
      <c r="B1" s="23" t="s">
        <v>22</v>
      </c>
      <c r="C1" s="24"/>
      <c r="D1" s="24"/>
      <c r="E1" s="1" t="s">
        <v>12</v>
      </c>
      <c r="F1" s="1" t="s">
        <v>19</v>
      </c>
      <c r="G1" s="24"/>
      <c r="H1" s="24"/>
      <c r="I1" s="24"/>
    </row>
    <row r="2">
      <c r="A2" s="22" t="s">
        <v>23</v>
      </c>
      <c r="B2" s="23" t="s">
        <v>157</v>
      </c>
      <c r="C2" s="24"/>
      <c r="D2" s="24"/>
      <c r="E2" s="15"/>
      <c r="F2" s="1" t="s">
        <v>20</v>
      </c>
      <c r="G2" s="24"/>
      <c r="H2" s="24"/>
      <c r="I2" s="24"/>
    </row>
    <row r="3">
      <c r="A3" s="22" t="s">
        <v>25</v>
      </c>
      <c r="B3" s="25" t="s">
        <v>158</v>
      </c>
      <c r="C3" s="24"/>
      <c r="D3" s="24"/>
      <c r="E3" s="26"/>
      <c r="F3" s="27" t="s">
        <v>159</v>
      </c>
      <c r="G3" s="24"/>
      <c r="H3" s="24"/>
      <c r="I3" s="24"/>
    </row>
    <row r="4">
      <c r="A4" s="22"/>
      <c r="B4" s="23"/>
      <c r="C4" s="24"/>
      <c r="D4" s="24"/>
      <c r="E4" s="24"/>
      <c r="F4" s="24"/>
      <c r="G4" s="24"/>
      <c r="H4" s="24"/>
      <c r="I4" s="24"/>
    </row>
    <row r="5">
      <c r="A5" s="28"/>
      <c r="B5" s="29" t="s">
        <v>0</v>
      </c>
      <c r="C5" s="3"/>
      <c r="D5" s="29" t="s">
        <v>1</v>
      </c>
      <c r="E5" s="3"/>
      <c r="F5" s="29" t="s">
        <v>2</v>
      </c>
      <c r="G5" s="3"/>
      <c r="H5" s="29" t="s">
        <v>3</v>
      </c>
      <c r="I5" s="3"/>
    </row>
    <row r="6" ht="44.25" customHeight="1">
      <c r="A6" s="30">
        <v>1.0</v>
      </c>
      <c r="B6" s="31" t="s">
        <v>28</v>
      </c>
      <c r="C6" s="3"/>
      <c r="D6" s="32" t="s">
        <v>29</v>
      </c>
      <c r="E6" s="33"/>
      <c r="F6" s="32" t="s">
        <v>160</v>
      </c>
      <c r="G6" s="33"/>
      <c r="H6" s="32" t="s">
        <v>31</v>
      </c>
      <c r="I6" s="33"/>
    </row>
    <row r="7">
      <c r="A7" s="34" t="s">
        <v>161</v>
      </c>
      <c r="B7" s="35" t="s">
        <v>9</v>
      </c>
      <c r="C7" s="35" t="s">
        <v>10</v>
      </c>
      <c r="D7" s="35" t="s">
        <v>11</v>
      </c>
      <c r="E7" s="35" t="s">
        <v>12</v>
      </c>
      <c r="F7" s="35" t="s">
        <v>11</v>
      </c>
      <c r="G7" s="35" t="s">
        <v>12</v>
      </c>
      <c r="H7" s="35" t="s">
        <v>11</v>
      </c>
      <c r="I7" s="35" t="s">
        <v>12</v>
      </c>
    </row>
    <row r="8">
      <c r="A8" s="7"/>
      <c r="B8" s="36"/>
      <c r="C8" s="36"/>
      <c r="D8" s="36"/>
      <c r="E8" s="36"/>
      <c r="F8" s="36"/>
      <c r="G8" s="36"/>
      <c r="H8" s="36"/>
      <c r="I8" s="36"/>
    </row>
    <row r="9">
      <c r="A9" s="7"/>
      <c r="B9" s="36"/>
      <c r="C9" s="36"/>
      <c r="D9" s="36"/>
      <c r="E9" s="36"/>
      <c r="F9" s="36"/>
      <c r="G9" s="36"/>
      <c r="H9" s="36"/>
      <c r="I9" s="36"/>
    </row>
    <row r="10">
      <c r="A10" s="9"/>
      <c r="B10" s="36"/>
      <c r="C10" s="36"/>
      <c r="D10" s="36"/>
      <c r="E10" s="36"/>
      <c r="F10" s="36"/>
      <c r="G10" s="36"/>
      <c r="H10" s="36"/>
      <c r="I10" s="36"/>
    </row>
    <row r="11">
      <c r="A11" s="37" t="s">
        <v>13</v>
      </c>
      <c r="B11" s="33"/>
      <c r="C11" s="33"/>
      <c r="D11" s="33"/>
      <c r="E11" s="33"/>
      <c r="F11" s="33"/>
      <c r="G11" s="33"/>
      <c r="H11" s="33"/>
      <c r="I11" s="33"/>
    </row>
    <row r="12">
      <c r="A12" s="38" t="s">
        <v>33</v>
      </c>
      <c r="B12" s="39">
        <v>2.0</v>
      </c>
      <c r="C12" s="40">
        <f t="shared" ref="C12:C20" si="1">B12/$B$21</f>
        <v>0.06666666667</v>
      </c>
      <c r="D12" s="41">
        <v>80.0</v>
      </c>
      <c r="E12" s="42">
        <f>D12*$C$12</f>
        <v>5.333333333</v>
      </c>
      <c r="F12" s="41">
        <v>85.0</v>
      </c>
      <c r="G12" s="42">
        <f>F12*$C$12</f>
        <v>5.666666667</v>
      </c>
      <c r="H12" s="41">
        <v>60.0</v>
      </c>
      <c r="I12" s="42">
        <f>H12*$C$12</f>
        <v>4</v>
      </c>
    </row>
    <row r="13">
      <c r="A13" s="38" t="s">
        <v>34</v>
      </c>
      <c r="B13" s="39">
        <v>4.0</v>
      </c>
      <c r="C13" s="40">
        <f t="shared" si="1"/>
        <v>0.1333333333</v>
      </c>
      <c r="D13" s="41">
        <v>70.0</v>
      </c>
      <c r="E13" s="42">
        <f>D13*$C$13</f>
        <v>9.333333333</v>
      </c>
      <c r="F13" s="41">
        <v>90.0</v>
      </c>
      <c r="G13" s="42">
        <f>F13*$C$13</f>
        <v>12</v>
      </c>
      <c r="H13" s="41">
        <v>60.0</v>
      </c>
      <c r="I13" s="42">
        <f>H13*$C$13</f>
        <v>8</v>
      </c>
    </row>
    <row r="14" ht="15.0" customHeight="1">
      <c r="A14" s="38" t="s">
        <v>35</v>
      </c>
      <c r="B14" s="39">
        <v>5.0</v>
      </c>
      <c r="C14" s="40">
        <f t="shared" si="1"/>
        <v>0.1666666667</v>
      </c>
      <c r="D14" s="41">
        <v>75.0</v>
      </c>
      <c r="E14" s="42">
        <f>D14*$C$14</f>
        <v>12.5</v>
      </c>
      <c r="F14" s="41">
        <v>90.0</v>
      </c>
      <c r="G14" s="42">
        <f>F14*$C$14</f>
        <v>15</v>
      </c>
      <c r="H14" s="41">
        <v>95.0</v>
      </c>
      <c r="I14" s="42">
        <f>H14*$C$14</f>
        <v>15.83333333</v>
      </c>
    </row>
    <row r="15">
      <c r="A15" s="38" t="s">
        <v>36</v>
      </c>
      <c r="B15" s="39">
        <v>4.0</v>
      </c>
      <c r="C15" s="40">
        <f t="shared" si="1"/>
        <v>0.1333333333</v>
      </c>
      <c r="D15" s="41">
        <v>70.0</v>
      </c>
      <c r="E15" s="42">
        <f>D15*$C$15</f>
        <v>9.333333333</v>
      </c>
      <c r="F15" s="41">
        <v>85.0</v>
      </c>
      <c r="G15" s="42">
        <f>F15*$C$15</f>
        <v>11.33333333</v>
      </c>
      <c r="H15" s="41">
        <v>60.0</v>
      </c>
      <c r="I15" s="42">
        <f>H15*$C$15</f>
        <v>8</v>
      </c>
    </row>
    <row r="16">
      <c r="A16" s="38" t="s">
        <v>37</v>
      </c>
      <c r="B16" s="39">
        <v>4.0</v>
      </c>
      <c r="C16" s="40">
        <f t="shared" si="1"/>
        <v>0.1333333333</v>
      </c>
      <c r="D16" s="41">
        <v>85.0</v>
      </c>
      <c r="E16" s="42">
        <f>D16*$C$16</f>
        <v>11.33333333</v>
      </c>
      <c r="F16" s="41">
        <v>90.0</v>
      </c>
      <c r="G16" s="42">
        <f>F16*$C$16</f>
        <v>12</v>
      </c>
      <c r="H16" s="41">
        <v>80.0</v>
      </c>
      <c r="I16" s="42">
        <f>H16*$C$16</f>
        <v>10.66666667</v>
      </c>
    </row>
    <row r="17">
      <c r="A17" s="38" t="s">
        <v>38</v>
      </c>
      <c r="B17" s="39">
        <v>4.0</v>
      </c>
      <c r="C17" s="40">
        <f t="shared" si="1"/>
        <v>0.1333333333</v>
      </c>
      <c r="D17" s="41">
        <v>70.0</v>
      </c>
      <c r="E17" s="42">
        <f>D17*$C$17</f>
        <v>9.333333333</v>
      </c>
      <c r="F17" s="41">
        <v>80.0</v>
      </c>
      <c r="G17" s="42">
        <f>F17*$C$17</f>
        <v>10.66666667</v>
      </c>
      <c r="H17" s="41">
        <v>60.0</v>
      </c>
      <c r="I17" s="42">
        <f>H17*$C$17</f>
        <v>8</v>
      </c>
    </row>
    <row r="18">
      <c r="A18" s="38" t="s">
        <v>39</v>
      </c>
      <c r="B18" s="39">
        <v>3.0</v>
      </c>
      <c r="C18" s="40">
        <f t="shared" si="1"/>
        <v>0.1</v>
      </c>
      <c r="D18" s="41">
        <v>85.0</v>
      </c>
      <c r="E18" s="42">
        <f>D18*$C$18</f>
        <v>8.5</v>
      </c>
      <c r="F18" s="41">
        <v>85.0</v>
      </c>
      <c r="G18" s="42">
        <f>F18*$C$18</f>
        <v>8.5</v>
      </c>
      <c r="H18" s="41">
        <v>70.0</v>
      </c>
      <c r="I18" s="42">
        <f>H18*$C$18</f>
        <v>7</v>
      </c>
    </row>
    <row r="19">
      <c r="A19" s="38" t="s">
        <v>40</v>
      </c>
      <c r="B19" s="39">
        <v>2.0</v>
      </c>
      <c r="C19" s="40">
        <f t="shared" si="1"/>
        <v>0.06666666667</v>
      </c>
      <c r="D19" s="41">
        <v>80.0</v>
      </c>
      <c r="E19" s="42">
        <f>D19*$C$19</f>
        <v>5.333333333</v>
      </c>
      <c r="F19" s="41">
        <v>90.0</v>
      </c>
      <c r="G19" s="42">
        <f>F19*$C$19</f>
        <v>6</v>
      </c>
      <c r="H19" s="41">
        <v>60.0</v>
      </c>
      <c r="I19" s="42">
        <f>H19*$C$19</f>
        <v>4</v>
      </c>
    </row>
    <row r="20">
      <c r="A20" s="38" t="s">
        <v>41</v>
      </c>
      <c r="B20" s="39">
        <v>2.0</v>
      </c>
      <c r="C20" s="40">
        <f t="shared" si="1"/>
        <v>0.06666666667</v>
      </c>
      <c r="D20" s="41">
        <v>75.0</v>
      </c>
      <c r="E20" s="42">
        <f>D20*$C$20</f>
        <v>5</v>
      </c>
      <c r="F20" s="41">
        <v>95.0</v>
      </c>
      <c r="G20" s="42">
        <f>F20*$C$20</f>
        <v>6.333333333</v>
      </c>
      <c r="H20" s="41">
        <v>50.0</v>
      </c>
      <c r="I20" s="42">
        <f>H20*$C$20</f>
        <v>3.333333333</v>
      </c>
    </row>
    <row r="21">
      <c r="A21" s="43" t="s">
        <v>18</v>
      </c>
      <c r="B21" s="44">
        <f t="shared" ref="B21:C21" si="2">SUM(B12:B20)</f>
        <v>30</v>
      </c>
      <c r="C21" s="45">
        <f t="shared" si="2"/>
        <v>1</v>
      </c>
      <c r="D21" s="46">
        <f>SUM(E12:E20)/100</f>
        <v>0.76</v>
      </c>
      <c r="E21" s="33"/>
      <c r="F21" s="47">
        <f>SUM(G12:G20)/100</f>
        <v>0.875</v>
      </c>
      <c r="G21" s="33"/>
      <c r="H21" s="46">
        <f>SUM(I12:I20)/100</f>
        <v>0.6883333333</v>
      </c>
      <c r="I21" s="33"/>
    </row>
    <row r="22" ht="39.0" customHeight="1">
      <c r="A22" s="30">
        <v>2.0</v>
      </c>
      <c r="B22" s="31" t="s">
        <v>42</v>
      </c>
      <c r="C22" s="3"/>
      <c r="D22" s="31" t="s">
        <v>43</v>
      </c>
      <c r="E22" s="3"/>
      <c r="F22" s="31" t="s">
        <v>44</v>
      </c>
      <c r="G22" s="3"/>
      <c r="H22" s="32" t="s">
        <v>45</v>
      </c>
      <c r="I22" s="33"/>
    </row>
    <row r="23">
      <c r="A23" s="48" t="s">
        <v>46</v>
      </c>
      <c r="B23" s="39">
        <v>5.0</v>
      </c>
      <c r="C23" s="40">
        <f t="shared" ref="C23:C31" si="3">B23/$B$32</f>
        <v>0.1666666667</v>
      </c>
      <c r="D23" s="41">
        <v>80.0</v>
      </c>
      <c r="E23" s="42">
        <f>D23*$C$23</f>
        <v>13.33333333</v>
      </c>
      <c r="F23" s="41">
        <v>90.0</v>
      </c>
      <c r="G23" s="42">
        <f>F23*$C$23</f>
        <v>15</v>
      </c>
      <c r="H23" s="41">
        <v>85.0</v>
      </c>
      <c r="I23" s="42">
        <f>H23*$C$23</f>
        <v>14.16666667</v>
      </c>
    </row>
    <row r="24">
      <c r="A24" s="48" t="s">
        <v>47</v>
      </c>
      <c r="B24" s="39">
        <v>3.0</v>
      </c>
      <c r="C24" s="40">
        <f t="shared" si="3"/>
        <v>0.1</v>
      </c>
      <c r="D24" s="41">
        <v>85.0</v>
      </c>
      <c r="E24" s="42">
        <f>D24*$C$24</f>
        <v>8.5</v>
      </c>
      <c r="F24" s="41">
        <v>90.0</v>
      </c>
      <c r="G24" s="42">
        <f>F24*$C$24</f>
        <v>9</v>
      </c>
      <c r="H24" s="41">
        <v>85.0</v>
      </c>
      <c r="I24" s="42">
        <f>H24*$C$24</f>
        <v>8.5</v>
      </c>
    </row>
    <row r="25">
      <c r="A25" s="38" t="s">
        <v>48</v>
      </c>
      <c r="B25" s="39">
        <v>3.0</v>
      </c>
      <c r="C25" s="40">
        <f t="shared" si="3"/>
        <v>0.1</v>
      </c>
      <c r="D25" s="41">
        <v>95.0</v>
      </c>
      <c r="E25" s="42">
        <f>D25*$C$25</f>
        <v>9.5</v>
      </c>
      <c r="F25" s="41">
        <v>70.0</v>
      </c>
      <c r="G25" s="42">
        <f>F25*$C$25</f>
        <v>7</v>
      </c>
      <c r="H25" s="41">
        <v>80.0</v>
      </c>
      <c r="I25" s="42">
        <f>H25*$C$25</f>
        <v>8</v>
      </c>
    </row>
    <row r="26">
      <c r="A26" s="38" t="s">
        <v>49</v>
      </c>
      <c r="B26" s="39">
        <v>4.0</v>
      </c>
      <c r="C26" s="40">
        <f t="shared" si="3"/>
        <v>0.1333333333</v>
      </c>
      <c r="D26" s="41">
        <v>90.0</v>
      </c>
      <c r="E26" s="42">
        <f>D26*$C$26</f>
        <v>12</v>
      </c>
      <c r="F26" s="41">
        <v>60.0</v>
      </c>
      <c r="G26" s="42">
        <f>F26*$C$26</f>
        <v>8</v>
      </c>
      <c r="H26" s="41">
        <v>95.0</v>
      </c>
      <c r="I26" s="42">
        <f>H26*$C$26</f>
        <v>12.66666667</v>
      </c>
    </row>
    <row r="27">
      <c r="A27" s="38" t="s">
        <v>50</v>
      </c>
      <c r="B27" s="39">
        <v>2.0</v>
      </c>
      <c r="C27" s="40">
        <f t="shared" si="3"/>
        <v>0.06666666667</v>
      </c>
      <c r="D27" s="41">
        <v>80.0</v>
      </c>
      <c r="E27" s="42">
        <f>D27*$C$27</f>
        <v>5.333333333</v>
      </c>
      <c r="F27" s="41">
        <v>85.0</v>
      </c>
      <c r="G27" s="42">
        <f>F27*$C$27</f>
        <v>5.666666667</v>
      </c>
      <c r="H27" s="41">
        <v>90.0</v>
      </c>
      <c r="I27" s="42">
        <f>H27*$C$27</f>
        <v>6</v>
      </c>
    </row>
    <row r="28">
      <c r="A28" s="38" t="s">
        <v>51</v>
      </c>
      <c r="B28" s="39">
        <v>2.0</v>
      </c>
      <c r="C28" s="40">
        <f t="shared" si="3"/>
        <v>0.06666666667</v>
      </c>
      <c r="D28" s="41">
        <v>75.0</v>
      </c>
      <c r="E28" s="42">
        <f>D28*$C$28</f>
        <v>5</v>
      </c>
      <c r="F28" s="41">
        <v>90.0</v>
      </c>
      <c r="G28" s="42">
        <f>F28*$C$28</f>
        <v>6</v>
      </c>
      <c r="H28" s="41">
        <v>85.0</v>
      </c>
      <c r="I28" s="42">
        <f>H28*$C$28</f>
        <v>5.666666667</v>
      </c>
    </row>
    <row r="29">
      <c r="A29" s="38" t="s">
        <v>52</v>
      </c>
      <c r="B29" s="39">
        <v>4.0</v>
      </c>
      <c r="C29" s="40">
        <f t="shared" si="3"/>
        <v>0.1333333333</v>
      </c>
      <c r="D29" s="41">
        <v>85.0</v>
      </c>
      <c r="E29" s="42">
        <f>D29*$C$29</f>
        <v>11.33333333</v>
      </c>
      <c r="F29" s="41">
        <v>60.0</v>
      </c>
      <c r="G29" s="42">
        <f>F29*$C$29</f>
        <v>8</v>
      </c>
      <c r="H29" s="41">
        <v>70.0</v>
      </c>
      <c r="I29" s="42">
        <f>H29*$C$29</f>
        <v>9.333333333</v>
      </c>
    </row>
    <row r="30">
      <c r="A30" s="38" t="s">
        <v>53</v>
      </c>
      <c r="B30" s="39">
        <v>3.0</v>
      </c>
      <c r="C30" s="40">
        <f t="shared" si="3"/>
        <v>0.1</v>
      </c>
      <c r="D30" s="41">
        <v>85.0</v>
      </c>
      <c r="E30" s="42">
        <f>D30*$C$30</f>
        <v>8.5</v>
      </c>
      <c r="F30" s="41">
        <v>75.0</v>
      </c>
      <c r="G30" s="42">
        <f>F30*$C$30</f>
        <v>7.5</v>
      </c>
      <c r="H30" s="41">
        <v>80.0</v>
      </c>
      <c r="I30" s="42">
        <f>H30*$C$30</f>
        <v>8</v>
      </c>
    </row>
    <row r="31">
      <c r="A31" s="38" t="s">
        <v>54</v>
      </c>
      <c r="B31" s="39">
        <v>4.0</v>
      </c>
      <c r="C31" s="40">
        <f t="shared" si="3"/>
        <v>0.1333333333</v>
      </c>
      <c r="D31" s="41">
        <v>90.0</v>
      </c>
      <c r="E31" s="42">
        <f>D31*$C$31</f>
        <v>12</v>
      </c>
      <c r="F31" s="41">
        <v>85.0</v>
      </c>
      <c r="G31" s="42">
        <f>F31*$C$31</f>
        <v>11.33333333</v>
      </c>
      <c r="H31" s="41">
        <v>85.0</v>
      </c>
      <c r="I31" s="42">
        <f>H31*$C$31</f>
        <v>11.33333333</v>
      </c>
    </row>
    <row r="32">
      <c r="A32" s="43" t="s">
        <v>18</v>
      </c>
      <c r="B32" s="44">
        <f t="shared" ref="B32:C32" si="4">SUM(B23:B31)</f>
        <v>30</v>
      </c>
      <c r="C32" s="45">
        <f t="shared" si="4"/>
        <v>1</v>
      </c>
      <c r="D32" s="47">
        <f>SUM(E23:E31)/100</f>
        <v>0.855</v>
      </c>
      <c r="E32" s="33"/>
      <c r="F32" s="46">
        <f>SUM(G23:G31)/100</f>
        <v>0.775</v>
      </c>
      <c r="G32" s="33"/>
      <c r="H32" s="49">
        <f>SUM(I23:I31)/100</f>
        <v>0.8366666667</v>
      </c>
      <c r="I32" s="33"/>
    </row>
    <row r="33" ht="34.5" customHeight="1">
      <c r="A33" s="30">
        <v>3.0</v>
      </c>
      <c r="B33" s="31" t="s">
        <v>55</v>
      </c>
      <c r="C33" s="3"/>
      <c r="D33" s="31" t="s">
        <v>56</v>
      </c>
      <c r="E33" s="3"/>
      <c r="F33" s="31" t="s">
        <v>57</v>
      </c>
      <c r="G33" s="3"/>
      <c r="H33" s="31" t="s">
        <v>58</v>
      </c>
      <c r="I33" s="3"/>
    </row>
    <row r="34">
      <c r="A34" s="38" t="s">
        <v>59</v>
      </c>
      <c r="B34" s="39">
        <v>5.0</v>
      </c>
      <c r="C34" s="40">
        <f t="shared" ref="C34:C41" si="5">B34/$B$43</f>
        <v>0.1666666667</v>
      </c>
      <c r="D34" s="41">
        <v>70.0</v>
      </c>
      <c r="E34" s="42">
        <f>D34*$C$34</f>
        <v>11.66666667</v>
      </c>
      <c r="F34" s="41">
        <v>95.0</v>
      </c>
      <c r="G34" s="42">
        <f>F34*$C$34</f>
        <v>15.83333333</v>
      </c>
      <c r="H34" s="41">
        <v>50.0</v>
      </c>
      <c r="I34" s="42">
        <f>H34*$C$34</f>
        <v>8.333333333</v>
      </c>
    </row>
    <row r="35">
      <c r="A35" s="38" t="s">
        <v>60</v>
      </c>
      <c r="B35" s="39">
        <v>5.0</v>
      </c>
      <c r="C35" s="40">
        <f t="shared" si="5"/>
        <v>0.1666666667</v>
      </c>
      <c r="D35" s="41">
        <v>70.0</v>
      </c>
      <c r="E35" s="42">
        <f>D35*$C$35</f>
        <v>11.66666667</v>
      </c>
      <c r="F35" s="41">
        <v>90.0</v>
      </c>
      <c r="G35" s="42">
        <f>F35*$C$35</f>
        <v>15</v>
      </c>
      <c r="H35" s="41">
        <v>85.0</v>
      </c>
      <c r="I35" s="42">
        <f>H35*$C$35</f>
        <v>14.16666667</v>
      </c>
    </row>
    <row r="36">
      <c r="A36" s="38" t="s">
        <v>61</v>
      </c>
      <c r="B36" s="39">
        <v>4.0</v>
      </c>
      <c r="C36" s="40">
        <f t="shared" si="5"/>
        <v>0.1333333333</v>
      </c>
      <c r="D36" s="41">
        <v>60.0</v>
      </c>
      <c r="E36" s="42">
        <f>D36*$C$36</f>
        <v>8</v>
      </c>
      <c r="F36" s="41">
        <v>90.0</v>
      </c>
      <c r="G36" s="42">
        <f>F36*$C$36</f>
        <v>12</v>
      </c>
      <c r="H36" s="41">
        <v>80.0</v>
      </c>
      <c r="I36" s="42">
        <f>H36*$C$36</f>
        <v>10.66666667</v>
      </c>
    </row>
    <row r="37">
      <c r="A37" s="50" t="s">
        <v>36</v>
      </c>
      <c r="B37" s="39">
        <v>3.0</v>
      </c>
      <c r="C37" s="40">
        <f t="shared" si="5"/>
        <v>0.1</v>
      </c>
      <c r="D37" s="41">
        <v>75.0</v>
      </c>
      <c r="E37" s="42">
        <f>D37*$C$37</f>
        <v>7.5</v>
      </c>
      <c r="F37" s="41">
        <v>80.0</v>
      </c>
      <c r="G37" s="42">
        <f>F37*$C$37</f>
        <v>8</v>
      </c>
      <c r="H37" s="41">
        <v>90.0</v>
      </c>
      <c r="I37" s="42">
        <f>H37*$C$37</f>
        <v>9</v>
      </c>
    </row>
    <row r="38">
      <c r="A38" s="38" t="s">
        <v>62</v>
      </c>
      <c r="B38" s="39">
        <v>2.0</v>
      </c>
      <c r="C38" s="40">
        <f t="shared" si="5"/>
        <v>0.06666666667</v>
      </c>
      <c r="D38" s="41">
        <v>85.0</v>
      </c>
      <c r="E38" s="42">
        <f>D38*$C$38</f>
        <v>5.666666667</v>
      </c>
      <c r="F38" s="41">
        <v>70.0</v>
      </c>
      <c r="G38" s="42">
        <f>F38*$C$38</f>
        <v>4.666666667</v>
      </c>
      <c r="H38" s="41">
        <v>90.0</v>
      </c>
      <c r="I38" s="42">
        <f>H38*$C$38</f>
        <v>6</v>
      </c>
    </row>
    <row r="39">
      <c r="A39" s="38" t="s">
        <v>63</v>
      </c>
      <c r="B39" s="39">
        <v>4.0</v>
      </c>
      <c r="C39" s="40">
        <f t="shared" si="5"/>
        <v>0.1333333333</v>
      </c>
      <c r="D39" s="41">
        <v>90.0</v>
      </c>
      <c r="E39" s="42">
        <f>D39*$C$39</f>
        <v>12</v>
      </c>
      <c r="F39" s="41">
        <v>80.0</v>
      </c>
      <c r="G39" s="42">
        <f>F39*$C$39</f>
        <v>10.66666667</v>
      </c>
      <c r="H39" s="41">
        <v>75.0</v>
      </c>
      <c r="I39" s="42">
        <f>H39*$C$39</f>
        <v>10</v>
      </c>
    </row>
    <row r="40">
      <c r="A40" s="38" t="s">
        <v>33</v>
      </c>
      <c r="B40" s="39">
        <v>3.0</v>
      </c>
      <c r="C40" s="40">
        <f t="shared" si="5"/>
        <v>0.1</v>
      </c>
      <c r="D40" s="41">
        <v>96.0</v>
      </c>
      <c r="E40" s="42">
        <f>D40*$C$40</f>
        <v>9.6</v>
      </c>
      <c r="F40" s="41">
        <v>70.0</v>
      </c>
      <c r="G40" s="42">
        <f>F40*$C$40</f>
        <v>7</v>
      </c>
      <c r="H40" s="41">
        <v>90.0</v>
      </c>
      <c r="I40" s="42">
        <f>H40*$C$40</f>
        <v>9</v>
      </c>
    </row>
    <row r="41">
      <c r="A41" s="38" t="s">
        <v>64</v>
      </c>
      <c r="B41" s="39">
        <v>4.0</v>
      </c>
      <c r="C41" s="40">
        <f t="shared" si="5"/>
        <v>0.1333333333</v>
      </c>
      <c r="D41" s="41">
        <v>60.0</v>
      </c>
      <c r="E41" s="42">
        <f>D41*$C$41</f>
        <v>8</v>
      </c>
      <c r="F41" s="41">
        <v>95.0</v>
      </c>
      <c r="G41" s="42">
        <f t="shared" ref="G41:G42" si="6">F41*$C$41</f>
        <v>12.66666667</v>
      </c>
      <c r="H41" s="41">
        <v>40.0</v>
      </c>
      <c r="I41" s="42">
        <f t="shared" ref="I41:I42" si="7">H41*$C$41</f>
        <v>5.333333333</v>
      </c>
    </row>
    <row r="42">
      <c r="A42" s="38" t="s">
        <v>65</v>
      </c>
      <c r="B42" s="51">
        <v>3.0</v>
      </c>
      <c r="C42" s="52">
        <f>B40/$B$43</f>
        <v>0.1</v>
      </c>
      <c r="D42" s="53">
        <v>70.0</v>
      </c>
      <c r="E42" s="54">
        <f>D41*$C$41</f>
        <v>8</v>
      </c>
      <c r="F42" s="53">
        <v>80.0</v>
      </c>
      <c r="G42" s="54">
        <f t="shared" si="6"/>
        <v>10.66666667</v>
      </c>
      <c r="H42" s="53">
        <v>85.0</v>
      </c>
      <c r="I42" s="54">
        <f t="shared" si="7"/>
        <v>11.33333333</v>
      </c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</row>
    <row r="43">
      <c r="A43" s="43" t="s">
        <v>18</v>
      </c>
      <c r="B43" s="44">
        <f t="shared" ref="B43:C43" si="8">SUM(B34:B41)</f>
        <v>30</v>
      </c>
      <c r="C43" s="45">
        <f t="shared" si="8"/>
        <v>1</v>
      </c>
      <c r="D43" s="49">
        <f>SUM(E34:E41)/100</f>
        <v>0.741</v>
      </c>
      <c r="E43" s="33"/>
      <c r="F43" s="47">
        <f>SUM(G34:G41)/100</f>
        <v>0.8583333333</v>
      </c>
      <c r="G43" s="33"/>
      <c r="H43" s="46">
        <f>SUM(I34:I41)/100</f>
        <v>0.725</v>
      </c>
      <c r="I43" s="33"/>
    </row>
    <row r="44">
      <c r="A44" s="30">
        <v>4.0</v>
      </c>
      <c r="B44" s="31" t="s">
        <v>66</v>
      </c>
      <c r="C44" s="3"/>
      <c r="D44" s="31" t="s">
        <v>162</v>
      </c>
      <c r="E44" s="3"/>
      <c r="F44" s="31" t="s">
        <v>68</v>
      </c>
      <c r="G44" s="3"/>
      <c r="H44" s="31" t="s">
        <v>69</v>
      </c>
      <c r="I44" s="3"/>
    </row>
    <row r="45">
      <c r="A45" s="38" t="s">
        <v>70</v>
      </c>
      <c r="B45" s="39">
        <v>4.0</v>
      </c>
      <c r="C45" s="40">
        <f t="shared" ref="C45:C53" si="9">B45/$B$54</f>
        <v>0.16</v>
      </c>
      <c r="D45" s="41">
        <v>85.0</v>
      </c>
      <c r="E45" s="42">
        <f>D45*$C$45</f>
        <v>13.6</v>
      </c>
      <c r="F45" s="41">
        <v>90.0</v>
      </c>
      <c r="G45" s="42">
        <f>F45*$C$45</f>
        <v>14.4</v>
      </c>
      <c r="H45" s="41">
        <v>75.0</v>
      </c>
      <c r="I45" s="42">
        <f>H45*$C$45</f>
        <v>12</v>
      </c>
    </row>
    <row r="46">
      <c r="A46" s="38" t="s">
        <v>34</v>
      </c>
      <c r="B46" s="39">
        <v>3.0</v>
      </c>
      <c r="C46" s="40">
        <f t="shared" si="9"/>
        <v>0.12</v>
      </c>
      <c r="D46" s="41">
        <v>80.0</v>
      </c>
      <c r="E46" s="42">
        <f>D46*$C$46</f>
        <v>9.6</v>
      </c>
      <c r="F46" s="41">
        <v>85.0</v>
      </c>
      <c r="G46" s="42">
        <f>F46*$C$46</f>
        <v>10.2</v>
      </c>
      <c r="H46" s="41">
        <v>65.0</v>
      </c>
      <c r="I46" s="42">
        <f>H46*$C$46</f>
        <v>7.8</v>
      </c>
    </row>
    <row r="47">
      <c r="A47" s="38" t="s">
        <v>71</v>
      </c>
      <c r="B47" s="39">
        <v>4.0</v>
      </c>
      <c r="C47" s="40">
        <f t="shared" si="9"/>
        <v>0.16</v>
      </c>
      <c r="D47" s="41">
        <v>80.0</v>
      </c>
      <c r="E47" s="42">
        <f>D47*$C$47</f>
        <v>12.8</v>
      </c>
      <c r="F47" s="41">
        <v>90.0</v>
      </c>
      <c r="G47" s="42">
        <f>F47*$C$47</f>
        <v>14.4</v>
      </c>
      <c r="H47" s="41">
        <v>95.0</v>
      </c>
      <c r="I47" s="42">
        <f>H47*$C$47</f>
        <v>15.2</v>
      </c>
    </row>
    <row r="48">
      <c r="A48" s="56" t="s">
        <v>72</v>
      </c>
      <c r="B48" s="39">
        <v>3.0</v>
      </c>
      <c r="C48" s="40">
        <f t="shared" si="9"/>
        <v>0.12</v>
      </c>
      <c r="D48" s="41">
        <v>90.0</v>
      </c>
      <c r="E48" s="42">
        <f>D48*$C$48</f>
        <v>10.8</v>
      </c>
      <c r="F48" s="41">
        <v>80.0</v>
      </c>
      <c r="G48" s="42">
        <f>F48*$C$48</f>
        <v>9.6</v>
      </c>
      <c r="H48" s="41">
        <v>60.0</v>
      </c>
      <c r="I48" s="42">
        <f>H48*$C$48</f>
        <v>7.2</v>
      </c>
    </row>
    <row r="49">
      <c r="A49" s="38" t="s">
        <v>33</v>
      </c>
      <c r="B49" s="39">
        <v>3.0</v>
      </c>
      <c r="C49" s="40">
        <f t="shared" si="9"/>
        <v>0.12</v>
      </c>
      <c r="D49" s="41">
        <v>95.0</v>
      </c>
      <c r="E49" s="42">
        <f>D49*$C$49</f>
        <v>11.4</v>
      </c>
      <c r="F49" s="41">
        <v>70.0</v>
      </c>
      <c r="G49" s="42">
        <f>F49*$C$49</f>
        <v>8.4</v>
      </c>
      <c r="H49" s="41">
        <v>60.0</v>
      </c>
      <c r="I49" s="42">
        <f>H49*$C$49</f>
        <v>7.2</v>
      </c>
    </row>
    <row r="50">
      <c r="A50" s="38" t="s">
        <v>73</v>
      </c>
      <c r="B50" s="39">
        <v>2.0</v>
      </c>
      <c r="C50" s="40">
        <f t="shared" si="9"/>
        <v>0.08</v>
      </c>
      <c r="D50" s="41">
        <v>85.0</v>
      </c>
      <c r="E50" s="42">
        <f>D50*$C$50</f>
        <v>6.8</v>
      </c>
      <c r="F50" s="41">
        <v>75.0</v>
      </c>
      <c r="G50" s="42">
        <f>F50*$C$50</f>
        <v>6</v>
      </c>
      <c r="H50" s="41">
        <v>70.0</v>
      </c>
      <c r="I50" s="42">
        <f>H50*$C$50</f>
        <v>5.6</v>
      </c>
    </row>
    <row r="51">
      <c r="A51" s="38" t="s">
        <v>74</v>
      </c>
      <c r="B51" s="39">
        <v>3.0</v>
      </c>
      <c r="C51" s="40">
        <f t="shared" si="9"/>
        <v>0.12</v>
      </c>
      <c r="D51" s="41">
        <v>90.0</v>
      </c>
      <c r="E51" s="42">
        <f>D51*$C$51</f>
        <v>10.8</v>
      </c>
      <c r="F51" s="41">
        <v>80.0</v>
      </c>
      <c r="G51" s="42">
        <f>F51*$C$51</f>
        <v>9.6</v>
      </c>
      <c r="H51" s="41">
        <v>65.0</v>
      </c>
      <c r="I51" s="42">
        <f>H51*$C$51</f>
        <v>7.8</v>
      </c>
    </row>
    <row r="52">
      <c r="A52" s="56" t="s">
        <v>75</v>
      </c>
      <c r="B52" s="39">
        <v>3.0</v>
      </c>
      <c r="C52" s="40">
        <f t="shared" si="9"/>
        <v>0.12</v>
      </c>
      <c r="D52" s="41">
        <v>85.0</v>
      </c>
      <c r="E52" s="42">
        <f t="shared" ref="E52:E53" si="10">D52*$C$52</f>
        <v>10.2</v>
      </c>
      <c r="F52" s="41">
        <v>90.0</v>
      </c>
      <c r="G52" s="42">
        <f t="shared" ref="G52:G53" si="11">F52*$C$52</f>
        <v>10.8</v>
      </c>
      <c r="H52" s="41">
        <v>70.0</v>
      </c>
      <c r="I52" s="42">
        <f t="shared" ref="I52:I53" si="12">H52*$C$52</f>
        <v>8.4</v>
      </c>
    </row>
    <row r="53">
      <c r="A53" s="56" t="s">
        <v>76</v>
      </c>
      <c r="B53" s="39">
        <v>3.0</v>
      </c>
      <c r="C53" s="40">
        <f t="shared" si="9"/>
        <v>0.12</v>
      </c>
      <c r="D53" s="41">
        <v>90.0</v>
      </c>
      <c r="E53" s="42">
        <f t="shared" si="10"/>
        <v>10.8</v>
      </c>
      <c r="F53" s="41">
        <v>85.0</v>
      </c>
      <c r="G53" s="42">
        <f t="shared" si="11"/>
        <v>10.2</v>
      </c>
      <c r="H53" s="41">
        <v>60.0</v>
      </c>
      <c r="I53" s="42">
        <f t="shared" si="12"/>
        <v>7.2</v>
      </c>
    </row>
    <row r="54">
      <c r="A54" s="43" t="s">
        <v>18</v>
      </c>
      <c r="B54" s="44">
        <f t="shared" ref="B54:C54" si="13">SUM(B45:B52)</f>
        <v>25</v>
      </c>
      <c r="C54" s="45">
        <f t="shared" si="13"/>
        <v>1</v>
      </c>
      <c r="D54" s="57">
        <f>SUM(E45:E52)/100</f>
        <v>0.86</v>
      </c>
      <c r="E54" s="33"/>
      <c r="F54" s="49">
        <f>SUM(G45:G52)/100</f>
        <v>0.834</v>
      </c>
      <c r="G54" s="33"/>
      <c r="H54" s="46">
        <f>SUM(I45:I52)/100</f>
        <v>0.712</v>
      </c>
      <c r="I54" s="33"/>
    </row>
    <row r="55">
      <c r="A55" s="30">
        <v>5.0</v>
      </c>
      <c r="B55" s="31" t="s">
        <v>77</v>
      </c>
      <c r="C55" s="3"/>
      <c r="D55" s="31" t="s">
        <v>78</v>
      </c>
      <c r="E55" s="3"/>
      <c r="F55" s="31" t="s">
        <v>79</v>
      </c>
      <c r="G55" s="3"/>
      <c r="H55" s="31" t="s">
        <v>80</v>
      </c>
      <c r="I55" s="3"/>
    </row>
    <row r="56">
      <c r="A56" s="38" t="s">
        <v>81</v>
      </c>
      <c r="B56" s="39">
        <v>5.0</v>
      </c>
      <c r="C56" s="40">
        <f t="shared" ref="C56:C62" si="14">B56/$B$63</f>
        <v>0.2</v>
      </c>
      <c r="D56" s="41">
        <v>60.0</v>
      </c>
      <c r="E56" s="42">
        <f>D56*$C$56</f>
        <v>12</v>
      </c>
      <c r="F56" s="41">
        <v>95.0</v>
      </c>
      <c r="G56" s="42">
        <f>F56*$C$56</f>
        <v>19</v>
      </c>
      <c r="H56" s="41">
        <v>85.0</v>
      </c>
      <c r="I56" s="42">
        <f>H56*$C$56</f>
        <v>17</v>
      </c>
    </row>
    <row r="57">
      <c r="A57" s="38" t="s">
        <v>82</v>
      </c>
      <c r="B57" s="39">
        <v>5.0</v>
      </c>
      <c r="C57" s="40">
        <f t="shared" si="14"/>
        <v>0.2</v>
      </c>
      <c r="D57" s="41">
        <v>90.0</v>
      </c>
      <c r="E57" s="42">
        <f>D57*$C$57</f>
        <v>18</v>
      </c>
      <c r="F57" s="41">
        <v>60.0</v>
      </c>
      <c r="G57" s="42">
        <f>F57*$C$57</f>
        <v>12</v>
      </c>
      <c r="H57" s="41">
        <v>75.0</v>
      </c>
      <c r="I57" s="42">
        <f>H57*$C$57</f>
        <v>15</v>
      </c>
    </row>
    <row r="58">
      <c r="A58" s="38" t="s">
        <v>83</v>
      </c>
      <c r="B58" s="39">
        <v>3.0</v>
      </c>
      <c r="C58" s="40">
        <f t="shared" si="14"/>
        <v>0.12</v>
      </c>
      <c r="D58" s="41">
        <v>85.0</v>
      </c>
      <c r="E58" s="42">
        <f>D58*$C$58</f>
        <v>10.2</v>
      </c>
      <c r="F58" s="41">
        <v>60.0</v>
      </c>
      <c r="G58" s="42">
        <f>F58*$C$58</f>
        <v>7.2</v>
      </c>
      <c r="H58" s="41">
        <v>70.0</v>
      </c>
      <c r="I58" s="42">
        <f>H58*$C$58</f>
        <v>8.4</v>
      </c>
    </row>
    <row r="59">
      <c r="A59" s="38" t="s">
        <v>46</v>
      </c>
      <c r="B59" s="39">
        <v>4.0</v>
      </c>
      <c r="C59" s="40">
        <f t="shared" si="14"/>
        <v>0.16</v>
      </c>
      <c r="D59" s="41">
        <v>80.0</v>
      </c>
      <c r="E59" s="42">
        <f>D59*$C$59</f>
        <v>12.8</v>
      </c>
      <c r="F59" s="41">
        <v>90.0</v>
      </c>
      <c r="G59" s="42">
        <f>F59*$C$59</f>
        <v>14.4</v>
      </c>
      <c r="H59" s="41">
        <v>85.0</v>
      </c>
      <c r="I59" s="42">
        <f>H59*$C$59</f>
        <v>13.6</v>
      </c>
    </row>
    <row r="60">
      <c r="A60" s="38" t="s">
        <v>51</v>
      </c>
      <c r="B60" s="39">
        <v>3.0</v>
      </c>
      <c r="C60" s="40">
        <f t="shared" si="14"/>
        <v>0.12</v>
      </c>
      <c r="D60" s="41">
        <v>95.0</v>
      </c>
      <c r="E60" s="42">
        <f>D60*$C$60</f>
        <v>11.4</v>
      </c>
      <c r="F60" s="41">
        <v>40.0</v>
      </c>
      <c r="G60" s="42">
        <f>F60*$C$60</f>
        <v>4.8</v>
      </c>
      <c r="H60" s="41">
        <v>85.0</v>
      </c>
      <c r="I60" s="42">
        <f>H60*$C$60</f>
        <v>10.2</v>
      </c>
    </row>
    <row r="61">
      <c r="A61" s="38" t="s">
        <v>84</v>
      </c>
      <c r="B61" s="39">
        <v>2.0</v>
      </c>
      <c r="C61" s="40">
        <f t="shared" si="14"/>
        <v>0.08</v>
      </c>
      <c r="D61" s="41">
        <v>70.0</v>
      </c>
      <c r="E61" s="42">
        <f>D61*$C$61</f>
        <v>5.6</v>
      </c>
      <c r="F61" s="41">
        <v>95.0</v>
      </c>
      <c r="G61" s="42">
        <f>F61*$C$61</f>
        <v>7.6</v>
      </c>
      <c r="H61" s="41">
        <v>90.0</v>
      </c>
      <c r="I61" s="42">
        <f>H61*$C$61</f>
        <v>7.2</v>
      </c>
    </row>
    <row r="62">
      <c r="A62" s="38" t="s">
        <v>54</v>
      </c>
      <c r="B62" s="39">
        <v>3.0</v>
      </c>
      <c r="C62" s="40">
        <f t="shared" si="14"/>
        <v>0.12</v>
      </c>
      <c r="D62" s="41">
        <v>90.0</v>
      </c>
      <c r="E62" s="42">
        <f>D62*$C$62</f>
        <v>10.8</v>
      </c>
      <c r="F62" s="41">
        <v>80.0</v>
      </c>
      <c r="G62" s="42">
        <f>F62*$C$62</f>
        <v>9.6</v>
      </c>
      <c r="H62" s="41">
        <v>90.0</v>
      </c>
      <c r="I62" s="42">
        <f>H62*$C$62</f>
        <v>10.8</v>
      </c>
    </row>
    <row r="63">
      <c r="A63" s="43" t="s">
        <v>18</v>
      </c>
      <c r="B63" s="44">
        <f t="shared" ref="B63:C63" si="15">SUM(B56:B62)</f>
        <v>25</v>
      </c>
      <c r="C63" s="45">
        <f t="shared" si="15"/>
        <v>1</v>
      </c>
      <c r="D63" s="46">
        <f>SUM(E56:E62)/100</f>
        <v>0.808</v>
      </c>
      <c r="E63" s="33"/>
      <c r="F63" s="46">
        <f>SUM(G56:G62)/100</f>
        <v>0.746</v>
      </c>
      <c r="G63" s="33"/>
      <c r="H63" s="46">
        <f>SUM(I56:I62)/100</f>
        <v>0.822</v>
      </c>
      <c r="I63" s="33"/>
    </row>
    <row r="64">
      <c r="A64" s="30">
        <v>6.0</v>
      </c>
      <c r="B64" s="31" t="s">
        <v>85</v>
      </c>
      <c r="C64" s="3"/>
      <c r="D64" s="31" t="s">
        <v>86</v>
      </c>
      <c r="E64" s="3"/>
      <c r="F64" s="31" t="s">
        <v>87</v>
      </c>
      <c r="G64" s="3"/>
      <c r="H64" s="31" t="s">
        <v>88</v>
      </c>
      <c r="I64" s="3"/>
    </row>
    <row r="65">
      <c r="A65" s="38" t="s">
        <v>34</v>
      </c>
      <c r="B65" s="39">
        <v>5.0</v>
      </c>
      <c r="C65" s="40">
        <f t="shared" ref="C65:C72" si="16">B65/$B$73</f>
        <v>0.2</v>
      </c>
      <c r="D65" s="41">
        <v>90.0</v>
      </c>
      <c r="E65" s="42">
        <f>D65*$C$65</f>
        <v>18</v>
      </c>
      <c r="F65" s="41">
        <v>85.0</v>
      </c>
      <c r="G65" s="42">
        <f>F65*$C$65</f>
        <v>17</v>
      </c>
      <c r="H65" s="41">
        <v>80.0</v>
      </c>
      <c r="I65" s="42">
        <f>H65*$C$65</f>
        <v>16</v>
      </c>
    </row>
    <row r="66">
      <c r="A66" s="38" t="s">
        <v>89</v>
      </c>
      <c r="B66" s="39">
        <v>4.0</v>
      </c>
      <c r="C66" s="40">
        <f t="shared" si="16"/>
        <v>0.16</v>
      </c>
      <c r="D66" s="41">
        <v>90.0</v>
      </c>
      <c r="E66" s="42">
        <f>D66*$C$66</f>
        <v>14.4</v>
      </c>
      <c r="F66" s="41">
        <v>85.0</v>
      </c>
      <c r="G66" s="42">
        <f>F66*$C$66</f>
        <v>13.6</v>
      </c>
      <c r="H66" s="41">
        <v>70.0</v>
      </c>
      <c r="I66" s="42">
        <f>H66*$C$66</f>
        <v>11.2</v>
      </c>
    </row>
    <row r="67">
      <c r="A67" s="38" t="s">
        <v>90</v>
      </c>
      <c r="B67" s="39">
        <v>3.0</v>
      </c>
      <c r="C67" s="40">
        <f t="shared" si="16"/>
        <v>0.12</v>
      </c>
      <c r="D67" s="41">
        <v>95.0</v>
      </c>
      <c r="E67" s="42">
        <f>D67*$C$67</f>
        <v>11.4</v>
      </c>
      <c r="F67" s="41">
        <v>90.0</v>
      </c>
      <c r="G67" s="42">
        <f>F67*$C$67</f>
        <v>10.8</v>
      </c>
      <c r="H67" s="41">
        <v>60.0</v>
      </c>
      <c r="I67" s="42">
        <f>H67*$C$67</f>
        <v>7.2</v>
      </c>
    </row>
    <row r="68">
      <c r="A68" s="38" t="s">
        <v>91</v>
      </c>
      <c r="B68" s="39">
        <v>3.0</v>
      </c>
      <c r="C68" s="40">
        <f t="shared" si="16"/>
        <v>0.12</v>
      </c>
      <c r="D68" s="41">
        <v>85.0</v>
      </c>
      <c r="E68" s="42">
        <f>D68*$C$68</f>
        <v>10.2</v>
      </c>
      <c r="F68" s="41">
        <v>90.0</v>
      </c>
      <c r="G68" s="42">
        <f>F68*$C$68</f>
        <v>10.8</v>
      </c>
      <c r="H68" s="41">
        <v>75.0</v>
      </c>
      <c r="I68" s="42">
        <f>H68*$C$68</f>
        <v>9</v>
      </c>
    </row>
    <row r="69">
      <c r="A69" s="38" t="s">
        <v>92</v>
      </c>
      <c r="B69" s="39">
        <v>3.0</v>
      </c>
      <c r="C69" s="40">
        <f t="shared" si="16"/>
        <v>0.12</v>
      </c>
      <c r="D69" s="41">
        <v>80.0</v>
      </c>
      <c r="E69" s="42">
        <f>D69*$C$69</f>
        <v>9.6</v>
      </c>
      <c r="F69" s="41">
        <v>85.0</v>
      </c>
      <c r="G69" s="42">
        <f>F69*$C$69</f>
        <v>10.2</v>
      </c>
      <c r="H69" s="41">
        <v>95.0</v>
      </c>
      <c r="I69" s="42">
        <f>H69*$C$69</f>
        <v>11.4</v>
      </c>
    </row>
    <row r="70">
      <c r="A70" s="38" t="s">
        <v>93</v>
      </c>
      <c r="B70" s="39">
        <v>2.0</v>
      </c>
      <c r="C70" s="40">
        <f t="shared" si="16"/>
        <v>0.08</v>
      </c>
      <c r="D70" s="41">
        <v>75.0</v>
      </c>
      <c r="E70" s="42">
        <f>D70*$C$70</f>
        <v>6</v>
      </c>
      <c r="F70" s="41">
        <v>80.0</v>
      </c>
      <c r="G70" s="42">
        <f>F70*$C$70</f>
        <v>6.4</v>
      </c>
      <c r="H70" s="41">
        <v>90.0</v>
      </c>
      <c r="I70" s="42">
        <f>H70*$C$70</f>
        <v>7.2</v>
      </c>
    </row>
    <row r="71">
      <c r="A71" s="38" t="s">
        <v>33</v>
      </c>
      <c r="B71" s="39">
        <v>2.0</v>
      </c>
      <c r="C71" s="40">
        <f t="shared" si="16"/>
        <v>0.08</v>
      </c>
      <c r="D71" s="41">
        <v>90.0</v>
      </c>
      <c r="E71" s="42">
        <f t="shared" ref="E71:E72" si="17">D71*$C$71</f>
        <v>7.2</v>
      </c>
      <c r="F71" s="41">
        <v>85.0</v>
      </c>
      <c r="G71" s="42">
        <f t="shared" ref="G71:G72" si="18">F71*$C$71</f>
        <v>6.8</v>
      </c>
      <c r="H71" s="41">
        <v>80.0</v>
      </c>
      <c r="I71" s="42">
        <f t="shared" ref="I71:I72" si="19">H71*$C$71</f>
        <v>6.4</v>
      </c>
    </row>
    <row r="72">
      <c r="A72" s="38" t="s">
        <v>39</v>
      </c>
      <c r="B72" s="39">
        <v>3.0</v>
      </c>
      <c r="C72" s="40">
        <f t="shared" si="16"/>
        <v>0.12</v>
      </c>
      <c r="D72" s="41">
        <v>95.0</v>
      </c>
      <c r="E72" s="42">
        <f t="shared" si="17"/>
        <v>7.6</v>
      </c>
      <c r="F72" s="41">
        <v>85.0</v>
      </c>
      <c r="G72" s="42">
        <f t="shared" si="18"/>
        <v>6.8</v>
      </c>
      <c r="H72" s="41">
        <v>70.0</v>
      </c>
      <c r="I72" s="42">
        <f t="shared" si="19"/>
        <v>5.6</v>
      </c>
    </row>
    <row r="73">
      <c r="A73" s="43" t="s">
        <v>18</v>
      </c>
      <c r="B73" s="44">
        <f t="shared" ref="B73:C73" si="20">SUM(B65:B72)</f>
        <v>25</v>
      </c>
      <c r="C73" s="45">
        <f t="shared" si="20"/>
        <v>1</v>
      </c>
      <c r="D73" s="46">
        <f>SUM(E65:E72)/100</f>
        <v>0.844</v>
      </c>
      <c r="E73" s="33"/>
      <c r="F73" s="46">
        <f>SUM(G65:G72)/100</f>
        <v>0.824</v>
      </c>
      <c r="G73" s="33"/>
      <c r="H73" s="47">
        <f>SUM(I65:I72)/100</f>
        <v>0.74</v>
      </c>
      <c r="I73" s="33"/>
    </row>
    <row r="74">
      <c r="A74" s="30">
        <v>7.0</v>
      </c>
      <c r="B74" s="31" t="s">
        <v>94</v>
      </c>
      <c r="C74" s="3"/>
      <c r="D74" s="31" t="s">
        <v>95</v>
      </c>
      <c r="E74" s="3"/>
      <c r="F74" s="31" t="s">
        <v>95</v>
      </c>
      <c r="G74" s="3"/>
      <c r="H74" s="31" t="s">
        <v>97</v>
      </c>
      <c r="I74" s="3"/>
    </row>
    <row r="75">
      <c r="A75" s="38" t="s">
        <v>98</v>
      </c>
      <c r="B75" s="39">
        <v>5.0</v>
      </c>
      <c r="C75" s="40">
        <f t="shared" ref="C75:C78" si="21">B75/$B$79</f>
        <v>0.3333333333</v>
      </c>
      <c r="D75" s="41">
        <v>80.0</v>
      </c>
      <c r="E75" s="42">
        <f>D75*$C$75</f>
        <v>26.66666667</v>
      </c>
      <c r="F75" s="41">
        <v>80.0</v>
      </c>
      <c r="G75" s="42">
        <f>F75*$C$75</f>
        <v>26.66666667</v>
      </c>
      <c r="H75" s="41">
        <v>90.0</v>
      </c>
      <c r="I75" s="42">
        <f>H75*$C$75</f>
        <v>30</v>
      </c>
    </row>
    <row r="76">
      <c r="A76" s="38" t="s">
        <v>99</v>
      </c>
      <c r="B76" s="39">
        <v>4.0</v>
      </c>
      <c r="C76" s="40">
        <f t="shared" si="21"/>
        <v>0.2666666667</v>
      </c>
      <c r="D76" s="41">
        <v>95.0</v>
      </c>
      <c r="E76" s="42">
        <f>D76*$C$76</f>
        <v>25.33333333</v>
      </c>
      <c r="F76" s="41">
        <v>95.0</v>
      </c>
      <c r="G76" s="42">
        <f>F76*$C$76</f>
        <v>25.33333333</v>
      </c>
      <c r="H76" s="41">
        <v>70.0</v>
      </c>
      <c r="I76" s="42">
        <f>H76*$C$76</f>
        <v>18.66666667</v>
      </c>
    </row>
    <row r="77">
      <c r="A77" s="38" t="s">
        <v>100</v>
      </c>
      <c r="B77" s="39">
        <v>3.0</v>
      </c>
      <c r="C77" s="40">
        <f t="shared" si="21"/>
        <v>0.2</v>
      </c>
      <c r="D77" s="41">
        <v>90.0</v>
      </c>
      <c r="E77" s="42">
        <f>D77*$C$77</f>
        <v>18</v>
      </c>
      <c r="F77" s="41">
        <v>90.0</v>
      </c>
      <c r="G77" s="42">
        <f>F77*$C$77</f>
        <v>18</v>
      </c>
      <c r="H77" s="41">
        <v>75.0</v>
      </c>
      <c r="I77" s="42">
        <f>H77*$C$77</f>
        <v>15</v>
      </c>
    </row>
    <row r="78">
      <c r="A78" s="38" t="s">
        <v>103</v>
      </c>
      <c r="B78" s="39">
        <v>3.0</v>
      </c>
      <c r="C78" s="40">
        <f t="shared" si="21"/>
        <v>0.2</v>
      </c>
      <c r="D78" s="41">
        <v>85.0</v>
      </c>
      <c r="E78" s="42">
        <f>D78*$C$78</f>
        <v>17</v>
      </c>
      <c r="F78" s="41">
        <v>85.0</v>
      </c>
      <c r="G78" s="42">
        <f>F78*$C$78</f>
        <v>17</v>
      </c>
      <c r="H78" s="41">
        <v>70.0</v>
      </c>
      <c r="I78" s="42">
        <f>H78*$C$78</f>
        <v>14</v>
      </c>
    </row>
    <row r="79">
      <c r="A79" s="43" t="s">
        <v>18</v>
      </c>
      <c r="B79" s="44">
        <f t="shared" ref="B79:C79" si="22">SUM(B75:B78)</f>
        <v>15</v>
      </c>
      <c r="C79" s="45">
        <f t="shared" si="22"/>
        <v>1</v>
      </c>
      <c r="D79" s="47">
        <f>SUM(E75:E78)/100</f>
        <v>0.87</v>
      </c>
      <c r="E79" s="33"/>
      <c r="F79" s="46">
        <f>SUM(G75:G78)/100</f>
        <v>0.87</v>
      </c>
      <c r="G79" s="33"/>
      <c r="H79" s="46">
        <f>SUM(I75:I78)/100</f>
        <v>0.7766666667</v>
      </c>
      <c r="I79" s="33"/>
    </row>
    <row r="80">
      <c r="A80" s="30">
        <v>8.0</v>
      </c>
      <c r="B80" s="31" t="s">
        <v>104</v>
      </c>
      <c r="C80" s="3"/>
      <c r="D80" s="31" t="s">
        <v>105</v>
      </c>
      <c r="E80" s="3"/>
      <c r="F80" s="31" t="s">
        <v>106</v>
      </c>
      <c r="G80" s="3"/>
      <c r="H80" s="31" t="s">
        <v>107</v>
      </c>
      <c r="I80" s="3"/>
    </row>
    <row r="81">
      <c r="A81" s="38" t="s">
        <v>108</v>
      </c>
      <c r="B81" s="39">
        <v>4.0</v>
      </c>
      <c r="C81" s="40">
        <f t="shared" ref="C81:C91" si="23">B81/$B$92</f>
        <v>0.1333333333</v>
      </c>
      <c r="D81" s="41">
        <v>85.0</v>
      </c>
      <c r="E81" s="42">
        <f>D81*$C$81</f>
        <v>11.33333333</v>
      </c>
      <c r="F81" s="41">
        <v>60.0</v>
      </c>
      <c r="G81" s="42">
        <f>F81*$C$81</f>
        <v>8</v>
      </c>
      <c r="H81" s="41">
        <v>95.0</v>
      </c>
      <c r="I81" s="42">
        <f>H81*$C$81</f>
        <v>12.66666667</v>
      </c>
    </row>
    <row r="82">
      <c r="A82" s="38" t="s">
        <v>109</v>
      </c>
      <c r="B82" s="39">
        <v>4.0</v>
      </c>
      <c r="C82" s="40">
        <f t="shared" si="23"/>
        <v>0.1333333333</v>
      </c>
      <c r="D82" s="41">
        <v>80.0</v>
      </c>
      <c r="E82" s="42">
        <f>D82*$C$82</f>
        <v>10.66666667</v>
      </c>
      <c r="F82" s="41">
        <v>70.0</v>
      </c>
      <c r="G82" s="42">
        <f>F82*$C$82</f>
        <v>9.333333333</v>
      </c>
      <c r="H82" s="41">
        <v>95.0</v>
      </c>
      <c r="I82" s="42">
        <f>H82*$C$82</f>
        <v>12.66666667</v>
      </c>
    </row>
    <row r="83">
      <c r="A83" s="38" t="s">
        <v>110</v>
      </c>
      <c r="B83" s="39">
        <v>3.0</v>
      </c>
      <c r="C83" s="40">
        <f t="shared" si="23"/>
        <v>0.1</v>
      </c>
      <c r="D83" s="41">
        <v>85.0</v>
      </c>
      <c r="E83" s="42">
        <f>D83*$C$83</f>
        <v>8.5</v>
      </c>
      <c r="F83" s="41">
        <v>80.0</v>
      </c>
      <c r="G83" s="42">
        <f>F83*$C$83</f>
        <v>8</v>
      </c>
      <c r="H83" s="41">
        <v>90.0</v>
      </c>
      <c r="I83" s="42">
        <f>H83*$C$83</f>
        <v>9</v>
      </c>
    </row>
    <row r="84">
      <c r="A84" s="38" t="s">
        <v>111</v>
      </c>
      <c r="B84" s="39">
        <v>2.0</v>
      </c>
      <c r="C84" s="40">
        <f t="shared" si="23"/>
        <v>0.06666666667</v>
      </c>
      <c r="D84" s="41">
        <v>85.0</v>
      </c>
      <c r="E84" s="42">
        <f>D84*$C$84</f>
        <v>5.666666667</v>
      </c>
      <c r="F84" s="41">
        <v>60.0</v>
      </c>
      <c r="G84" s="42">
        <f>F84*$C$84</f>
        <v>4</v>
      </c>
      <c r="H84" s="41">
        <v>70.0</v>
      </c>
      <c r="I84" s="42">
        <f>H84*$C$84</f>
        <v>4.666666667</v>
      </c>
    </row>
    <row r="85">
      <c r="A85" s="38" t="s">
        <v>112</v>
      </c>
      <c r="B85" s="39">
        <v>3.0</v>
      </c>
      <c r="C85" s="40">
        <f t="shared" si="23"/>
        <v>0.1</v>
      </c>
      <c r="D85" s="41">
        <v>80.0</v>
      </c>
      <c r="E85" s="42">
        <f>D85*$C$85</f>
        <v>8</v>
      </c>
      <c r="F85" s="41">
        <v>60.0</v>
      </c>
      <c r="G85" s="42">
        <f>F85*$C$85</f>
        <v>6</v>
      </c>
      <c r="H85" s="41">
        <v>90.0</v>
      </c>
      <c r="I85" s="42">
        <f>H85*$C$85</f>
        <v>9</v>
      </c>
    </row>
    <row r="86">
      <c r="A86" s="38" t="s">
        <v>62</v>
      </c>
      <c r="B86" s="39">
        <v>2.0</v>
      </c>
      <c r="C86" s="40">
        <f t="shared" si="23"/>
        <v>0.06666666667</v>
      </c>
      <c r="D86" s="41">
        <v>90.0</v>
      </c>
      <c r="E86" s="42">
        <f>D86*$C$86</f>
        <v>6</v>
      </c>
      <c r="F86" s="41">
        <v>85.0</v>
      </c>
      <c r="G86" s="42">
        <f>F86*$C$86</f>
        <v>5.666666667</v>
      </c>
      <c r="H86" s="41">
        <v>70.0</v>
      </c>
      <c r="I86" s="42">
        <f>H86*$C$86</f>
        <v>4.666666667</v>
      </c>
    </row>
    <row r="87">
      <c r="A87" s="38" t="s">
        <v>33</v>
      </c>
      <c r="B87" s="39">
        <v>2.0</v>
      </c>
      <c r="C87" s="40">
        <f t="shared" si="23"/>
        <v>0.06666666667</v>
      </c>
      <c r="D87" s="41">
        <v>95.0</v>
      </c>
      <c r="E87" s="42">
        <f>D87*$C$87</f>
        <v>6.333333333</v>
      </c>
      <c r="F87" s="41">
        <v>85.0</v>
      </c>
      <c r="G87" s="42">
        <f>F87*$C$87</f>
        <v>5.666666667</v>
      </c>
      <c r="H87" s="41">
        <v>50.0</v>
      </c>
      <c r="I87" s="42">
        <f>H87*$C$87</f>
        <v>3.333333333</v>
      </c>
    </row>
    <row r="88">
      <c r="A88" s="38" t="s">
        <v>40</v>
      </c>
      <c r="B88" s="39">
        <v>3.0</v>
      </c>
      <c r="C88" s="40">
        <f t="shared" si="23"/>
        <v>0.1</v>
      </c>
      <c r="D88" s="41">
        <v>90.0</v>
      </c>
      <c r="E88" s="42">
        <f t="shared" ref="E88:E91" si="24">D88*$C$88</f>
        <v>9</v>
      </c>
      <c r="F88" s="41">
        <v>80.0</v>
      </c>
      <c r="G88" s="42">
        <f t="shared" ref="G88:G91" si="25">F88*$C$88</f>
        <v>8</v>
      </c>
      <c r="H88" s="41">
        <v>60.0</v>
      </c>
      <c r="I88" s="42">
        <f t="shared" ref="I88:I91" si="26">H88*$C$88</f>
        <v>6</v>
      </c>
    </row>
    <row r="89">
      <c r="A89" s="38" t="s">
        <v>113</v>
      </c>
      <c r="B89" s="39">
        <v>2.0</v>
      </c>
      <c r="C89" s="40">
        <f t="shared" si="23"/>
        <v>0.06666666667</v>
      </c>
      <c r="D89" s="41">
        <v>80.0</v>
      </c>
      <c r="E89" s="42">
        <f t="shared" si="24"/>
        <v>8</v>
      </c>
      <c r="F89" s="41">
        <v>90.0</v>
      </c>
      <c r="G89" s="42">
        <f t="shared" si="25"/>
        <v>9</v>
      </c>
      <c r="H89" s="41">
        <v>75.0</v>
      </c>
      <c r="I89" s="42">
        <f t="shared" si="26"/>
        <v>7.5</v>
      </c>
    </row>
    <row r="90">
      <c r="A90" s="38" t="s">
        <v>37</v>
      </c>
      <c r="B90" s="39">
        <v>3.0</v>
      </c>
      <c r="C90" s="40">
        <f t="shared" si="23"/>
        <v>0.1</v>
      </c>
      <c r="D90" s="41">
        <v>85.0</v>
      </c>
      <c r="E90" s="42">
        <f t="shared" si="24"/>
        <v>8.5</v>
      </c>
      <c r="F90" s="41">
        <v>75.0</v>
      </c>
      <c r="G90" s="42">
        <f t="shared" si="25"/>
        <v>7.5</v>
      </c>
      <c r="H90" s="41">
        <v>90.0</v>
      </c>
      <c r="I90" s="42">
        <f t="shared" si="26"/>
        <v>9</v>
      </c>
    </row>
    <row r="91">
      <c r="A91" s="38" t="s">
        <v>39</v>
      </c>
      <c r="B91" s="39">
        <v>2.0</v>
      </c>
      <c r="C91" s="40">
        <f t="shared" si="23"/>
        <v>0.06666666667</v>
      </c>
      <c r="D91" s="41">
        <v>90.0</v>
      </c>
      <c r="E91" s="42">
        <f t="shared" si="24"/>
        <v>9</v>
      </c>
      <c r="F91" s="41">
        <v>85.0</v>
      </c>
      <c r="G91" s="42">
        <f t="shared" si="25"/>
        <v>8.5</v>
      </c>
      <c r="H91" s="41">
        <v>80.0</v>
      </c>
      <c r="I91" s="42">
        <f t="shared" si="26"/>
        <v>8</v>
      </c>
    </row>
    <row r="92">
      <c r="A92" s="43" t="s">
        <v>18</v>
      </c>
      <c r="B92" s="44">
        <f t="shared" ref="B92:C92" si="27">SUM(B81:B91)</f>
        <v>30</v>
      </c>
      <c r="C92" s="45">
        <f t="shared" si="27"/>
        <v>1</v>
      </c>
      <c r="D92" s="47">
        <f>SUM(E81:E91)/100</f>
        <v>0.91</v>
      </c>
      <c r="E92" s="33"/>
      <c r="F92" s="46">
        <f>SUM(G81:G91)/100</f>
        <v>0.7966666667</v>
      </c>
      <c r="G92" s="33"/>
      <c r="H92" s="49">
        <f>SUM(I81:I91)/100</f>
        <v>0.865</v>
      </c>
      <c r="I92" s="33"/>
    </row>
    <row r="93">
      <c r="A93" s="30">
        <v>9.0</v>
      </c>
      <c r="B93" s="31" t="s">
        <v>114</v>
      </c>
      <c r="C93" s="3"/>
      <c r="D93" s="31" t="s">
        <v>115</v>
      </c>
      <c r="E93" s="3"/>
      <c r="F93" s="31" t="s">
        <v>116</v>
      </c>
      <c r="G93" s="3"/>
      <c r="H93" s="31" t="s">
        <v>117</v>
      </c>
      <c r="I93" s="3"/>
    </row>
    <row r="94">
      <c r="A94" s="38" t="s">
        <v>118</v>
      </c>
      <c r="B94" s="39">
        <v>4.0</v>
      </c>
      <c r="C94" s="40">
        <f t="shared" ref="C94:C102" si="28">B94/$B$103</f>
        <v>0.1333333333</v>
      </c>
      <c r="D94" s="41">
        <v>70.0</v>
      </c>
      <c r="E94" s="42">
        <f>D94*$C$94</f>
        <v>9.333333333</v>
      </c>
      <c r="F94" s="41">
        <v>90.0</v>
      </c>
      <c r="G94" s="42">
        <f>F94*$C$94</f>
        <v>12</v>
      </c>
      <c r="H94" s="41">
        <v>95.0</v>
      </c>
      <c r="I94" s="42">
        <f>H94*$C$94</f>
        <v>12.66666667</v>
      </c>
    </row>
    <row r="95">
      <c r="A95" s="38" t="s">
        <v>119</v>
      </c>
      <c r="B95" s="39">
        <v>3.0</v>
      </c>
      <c r="C95" s="40">
        <f t="shared" si="28"/>
        <v>0.1</v>
      </c>
      <c r="D95" s="41">
        <v>80.0</v>
      </c>
      <c r="E95" s="42">
        <f>D95*$C$95</f>
        <v>8</v>
      </c>
      <c r="F95" s="41">
        <v>85.0</v>
      </c>
      <c r="G95" s="42">
        <f>F95*$C$95</f>
        <v>8.5</v>
      </c>
      <c r="H95" s="41">
        <v>85.0</v>
      </c>
      <c r="I95" s="42">
        <f>H95*$C$95</f>
        <v>8.5</v>
      </c>
    </row>
    <row r="96">
      <c r="A96" s="38" t="s">
        <v>62</v>
      </c>
      <c r="B96" s="39">
        <v>3.0</v>
      </c>
      <c r="C96" s="40">
        <f t="shared" si="28"/>
        <v>0.1</v>
      </c>
      <c r="D96" s="41">
        <v>95.0</v>
      </c>
      <c r="E96" s="42">
        <f>D96*$C$96</f>
        <v>9.5</v>
      </c>
      <c r="F96" s="41">
        <v>85.0</v>
      </c>
      <c r="G96" s="42">
        <f>F96*$C$96</f>
        <v>8.5</v>
      </c>
      <c r="H96" s="41">
        <v>80.0</v>
      </c>
      <c r="I96" s="42">
        <f>H96*$C$96</f>
        <v>8</v>
      </c>
    </row>
    <row r="97">
      <c r="A97" s="38" t="s">
        <v>103</v>
      </c>
      <c r="B97" s="39">
        <v>4.0</v>
      </c>
      <c r="C97" s="40">
        <f t="shared" si="28"/>
        <v>0.1333333333</v>
      </c>
      <c r="D97" s="41">
        <v>90.0</v>
      </c>
      <c r="E97" s="42">
        <f>D97*$C$97</f>
        <v>12</v>
      </c>
      <c r="F97" s="41">
        <v>70.0</v>
      </c>
      <c r="G97" s="42">
        <f>F97*$C$97</f>
        <v>9.333333333</v>
      </c>
      <c r="H97" s="41">
        <v>75.0</v>
      </c>
      <c r="I97" s="42">
        <f>H97*$C$97</f>
        <v>10</v>
      </c>
    </row>
    <row r="98">
      <c r="A98" s="38" t="s">
        <v>33</v>
      </c>
      <c r="B98" s="39">
        <v>2.0</v>
      </c>
      <c r="C98" s="40">
        <f t="shared" si="28"/>
        <v>0.06666666667</v>
      </c>
      <c r="D98" s="41">
        <v>95.0</v>
      </c>
      <c r="E98" s="42">
        <f>D98*$C$98</f>
        <v>6.333333333</v>
      </c>
      <c r="F98" s="41">
        <v>80.0</v>
      </c>
      <c r="G98" s="42">
        <f>F98*$C$98</f>
        <v>5.333333333</v>
      </c>
      <c r="H98" s="41">
        <v>85.0</v>
      </c>
      <c r="I98" s="42">
        <f>H98*$C$98</f>
        <v>5.666666667</v>
      </c>
    </row>
    <row r="99">
      <c r="A99" s="38" t="s">
        <v>41</v>
      </c>
      <c r="B99" s="39">
        <v>2.0</v>
      </c>
      <c r="C99" s="40">
        <f t="shared" si="28"/>
        <v>0.06666666667</v>
      </c>
      <c r="D99" s="41">
        <v>90.0</v>
      </c>
      <c r="E99" s="42">
        <f>D99*$C$99</f>
        <v>6</v>
      </c>
      <c r="F99" s="41">
        <v>80.0</v>
      </c>
      <c r="G99" s="42">
        <f>F99*$C$99</f>
        <v>5.333333333</v>
      </c>
      <c r="H99" s="41">
        <v>70.0</v>
      </c>
      <c r="I99" s="42">
        <f>H99*$C$99</f>
        <v>4.666666667</v>
      </c>
    </row>
    <row r="100">
      <c r="A100" s="38" t="s">
        <v>120</v>
      </c>
      <c r="B100" s="39">
        <v>3.0</v>
      </c>
      <c r="C100" s="40">
        <f t="shared" si="28"/>
        <v>0.1</v>
      </c>
      <c r="D100" s="41">
        <v>85.0</v>
      </c>
      <c r="E100" s="42">
        <f t="shared" ref="E100:E102" si="29">D100*$C$100</f>
        <v>8.5</v>
      </c>
      <c r="F100" s="41">
        <v>80.0</v>
      </c>
      <c r="G100" s="42">
        <f t="shared" ref="G100:G102" si="30">F100*$C$100</f>
        <v>8</v>
      </c>
      <c r="H100" s="41">
        <v>90.0</v>
      </c>
      <c r="I100" s="42">
        <f t="shared" ref="I100:I102" si="31">H100*$C$100</f>
        <v>9</v>
      </c>
    </row>
    <row r="101">
      <c r="A101" s="38" t="s">
        <v>121</v>
      </c>
      <c r="B101" s="39">
        <v>5.0</v>
      </c>
      <c r="C101" s="40">
        <f t="shared" si="28"/>
        <v>0.1666666667</v>
      </c>
      <c r="D101" s="41">
        <v>95.0</v>
      </c>
      <c r="E101" s="42">
        <f t="shared" si="29"/>
        <v>9.5</v>
      </c>
      <c r="F101" s="41">
        <v>80.0</v>
      </c>
      <c r="G101" s="42">
        <f t="shared" si="30"/>
        <v>8</v>
      </c>
      <c r="H101" s="41">
        <v>85.0</v>
      </c>
      <c r="I101" s="42">
        <f t="shared" si="31"/>
        <v>8.5</v>
      </c>
    </row>
    <row r="102">
      <c r="A102" s="38" t="s">
        <v>37</v>
      </c>
      <c r="B102" s="39">
        <v>4.0</v>
      </c>
      <c r="C102" s="40">
        <f t="shared" si="28"/>
        <v>0.1333333333</v>
      </c>
      <c r="D102" s="41">
        <v>90.0</v>
      </c>
      <c r="E102" s="42">
        <f t="shared" si="29"/>
        <v>9</v>
      </c>
      <c r="F102" s="41">
        <v>85.0</v>
      </c>
      <c r="G102" s="42">
        <f t="shared" si="30"/>
        <v>8.5</v>
      </c>
      <c r="H102" s="41">
        <v>85.0</v>
      </c>
      <c r="I102" s="42">
        <f t="shared" si="31"/>
        <v>8.5</v>
      </c>
    </row>
    <row r="103">
      <c r="A103" s="43" t="s">
        <v>18</v>
      </c>
      <c r="B103" s="44">
        <f t="shared" ref="B103:C103" si="32">SUM(B94:B102)</f>
        <v>30</v>
      </c>
      <c r="C103" s="45">
        <f t="shared" si="32"/>
        <v>1</v>
      </c>
      <c r="D103" s="46">
        <f>SUM(E94:E102)/100</f>
        <v>0.7816666667</v>
      </c>
      <c r="E103" s="33"/>
      <c r="F103" s="49">
        <f>SUM(G94:G102)/100</f>
        <v>0.735</v>
      </c>
      <c r="G103" s="33"/>
      <c r="H103" s="46">
        <f>SUM(I94:I102)/100</f>
        <v>0.755</v>
      </c>
      <c r="I103" s="33"/>
    </row>
    <row r="104">
      <c r="A104" s="30">
        <v>10.0</v>
      </c>
      <c r="B104" s="31" t="s">
        <v>122</v>
      </c>
      <c r="C104" s="3"/>
      <c r="D104" s="31" t="s">
        <v>123</v>
      </c>
      <c r="E104" s="3"/>
      <c r="F104" s="31" t="s">
        <v>124</v>
      </c>
      <c r="G104" s="3"/>
      <c r="H104" s="31" t="s">
        <v>125</v>
      </c>
      <c r="I104" s="3"/>
    </row>
    <row r="105">
      <c r="A105" s="38" t="s">
        <v>126</v>
      </c>
      <c r="B105" s="39">
        <v>5.0</v>
      </c>
      <c r="C105" s="40">
        <f t="shared" ref="C105:C114" si="33">B105/$B$115</f>
        <v>0.1666666667</v>
      </c>
      <c r="D105" s="41">
        <v>90.0</v>
      </c>
      <c r="E105" s="42">
        <f>D105*$C$105</f>
        <v>15</v>
      </c>
      <c r="F105" s="41">
        <v>95.0</v>
      </c>
      <c r="G105" s="42">
        <f>F105*$C$105</f>
        <v>15.83333333</v>
      </c>
      <c r="H105" s="41">
        <v>80.0</v>
      </c>
      <c r="I105" s="42">
        <f>H105*$C$105</f>
        <v>13.33333333</v>
      </c>
    </row>
    <row r="106">
      <c r="A106" s="38" t="s">
        <v>37</v>
      </c>
      <c r="B106" s="39">
        <v>4.0</v>
      </c>
      <c r="C106" s="40">
        <f t="shared" si="33"/>
        <v>0.1333333333</v>
      </c>
      <c r="D106" s="41">
        <v>80.0</v>
      </c>
      <c r="E106" s="42">
        <f>D106*$C$106</f>
        <v>10.66666667</v>
      </c>
      <c r="F106" s="41">
        <v>90.0</v>
      </c>
      <c r="G106" s="42">
        <f>F106*$C$106</f>
        <v>12</v>
      </c>
      <c r="H106" s="41">
        <v>85.0</v>
      </c>
      <c r="I106" s="42">
        <f>H106*$C$106</f>
        <v>11.33333333</v>
      </c>
    </row>
    <row r="107">
      <c r="A107" s="38" t="s">
        <v>127</v>
      </c>
      <c r="B107" s="39">
        <v>3.0</v>
      </c>
      <c r="C107" s="40">
        <f t="shared" si="33"/>
        <v>0.1</v>
      </c>
      <c r="D107" s="41">
        <v>75.0</v>
      </c>
      <c r="E107" s="42">
        <f>D107*$C$107</f>
        <v>7.5</v>
      </c>
      <c r="F107" s="41">
        <v>85.0</v>
      </c>
      <c r="G107" s="42">
        <f>F107*$C$107</f>
        <v>8.5</v>
      </c>
      <c r="H107" s="41">
        <v>65.0</v>
      </c>
      <c r="I107" s="42">
        <f>H107*$C$107</f>
        <v>6.5</v>
      </c>
    </row>
    <row r="108">
      <c r="A108" s="38" t="s">
        <v>128</v>
      </c>
      <c r="B108" s="39">
        <v>3.0</v>
      </c>
      <c r="C108" s="40">
        <f t="shared" si="33"/>
        <v>0.1</v>
      </c>
      <c r="D108" s="41">
        <v>85.0</v>
      </c>
      <c r="E108" s="42">
        <f>D108*$C$108</f>
        <v>8.5</v>
      </c>
      <c r="F108" s="41">
        <v>90.0</v>
      </c>
      <c r="G108" s="42">
        <f>F108*$C$108</f>
        <v>9</v>
      </c>
      <c r="H108" s="41">
        <v>85.0</v>
      </c>
      <c r="I108" s="42">
        <f>H108*$C$108</f>
        <v>8.5</v>
      </c>
    </row>
    <row r="109">
      <c r="A109" s="38" t="s">
        <v>84</v>
      </c>
      <c r="B109" s="39">
        <v>2.0</v>
      </c>
      <c r="C109" s="40">
        <f t="shared" si="33"/>
        <v>0.06666666667</v>
      </c>
      <c r="D109" s="41">
        <v>70.0</v>
      </c>
      <c r="E109" s="42">
        <f>D109*$C$109</f>
        <v>4.666666667</v>
      </c>
      <c r="F109" s="41">
        <v>85.0</v>
      </c>
      <c r="G109" s="42">
        <f>F109*$C$109</f>
        <v>5.666666667</v>
      </c>
      <c r="H109" s="41">
        <v>95.0</v>
      </c>
      <c r="I109" s="42">
        <f>H109*$C$109</f>
        <v>6.333333333</v>
      </c>
    </row>
    <row r="110">
      <c r="A110" s="38" t="s">
        <v>129</v>
      </c>
      <c r="B110" s="39">
        <v>3.0</v>
      </c>
      <c r="C110" s="40">
        <f t="shared" si="33"/>
        <v>0.1</v>
      </c>
      <c r="D110" s="41">
        <v>90.0</v>
      </c>
      <c r="E110" s="42">
        <f>D110*$C$110</f>
        <v>9</v>
      </c>
      <c r="F110" s="41">
        <v>80.0</v>
      </c>
      <c r="G110" s="42">
        <f>F110*$C$110</f>
        <v>8</v>
      </c>
      <c r="H110" s="41">
        <v>85.0</v>
      </c>
      <c r="I110" s="42">
        <f>H110*$C$110</f>
        <v>8.5</v>
      </c>
    </row>
    <row r="111">
      <c r="A111" s="38" t="s">
        <v>81</v>
      </c>
      <c r="B111" s="39">
        <v>2.0</v>
      </c>
      <c r="C111" s="40">
        <f t="shared" si="33"/>
        <v>0.06666666667</v>
      </c>
      <c r="D111" s="41">
        <v>70.0</v>
      </c>
      <c r="E111" s="42">
        <f t="shared" ref="E111:E114" si="34">D111*$C$111</f>
        <v>4.666666667</v>
      </c>
      <c r="F111" s="41">
        <v>80.0</v>
      </c>
      <c r="G111" s="42">
        <f t="shared" ref="G111:G114" si="35">F111*$C$111</f>
        <v>5.333333333</v>
      </c>
      <c r="H111" s="41">
        <v>90.0</v>
      </c>
      <c r="I111" s="42">
        <f t="shared" ref="I111:I114" si="36">H111*$C$111</f>
        <v>6</v>
      </c>
    </row>
    <row r="112">
      <c r="A112" s="38" t="s">
        <v>51</v>
      </c>
      <c r="B112" s="39">
        <v>3.0</v>
      </c>
      <c r="C112" s="40">
        <f t="shared" si="33"/>
        <v>0.1</v>
      </c>
      <c r="D112" s="41">
        <v>95.0</v>
      </c>
      <c r="E112" s="42">
        <f t="shared" si="34"/>
        <v>6.333333333</v>
      </c>
      <c r="F112" s="41">
        <v>95.0</v>
      </c>
      <c r="G112" s="42">
        <f t="shared" si="35"/>
        <v>6.333333333</v>
      </c>
      <c r="H112" s="41">
        <v>50.0</v>
      </c>
      <c r="I112" s="42">
        <f t="shared" si="36"/>
        <v>3.333333333</v>
      </c>
    </row>
    <row r="113">
      <c r="A113" s="38" t="s">
        <v>130</v>
      </c>
      <c r="B113" s="39">
        <v>3.0</v>
      </c>
      <c r="C113" s="40">
        <f t="shared" si="33"/>
        <v>0.1</v>
      </c>
      <c r="D113" s="41">
        <v>80.0</v>
      </c>
      <c r="E113" s="42">
        <f t="shared" si="34"/>
        <v>5.333333333</v>
      </c>
      <c r="F113" s="41">
        <v>95.0</v>
      </c>
      <c r="G113" s="42">
        <f t="shared" si="35"/>
        <v>6.333333333</v>
      </c>
      <c r="H113" s="41">
        <v>75.0</v>
      </c>
      <c r="I113" s="42">
        <f t="shared" si="36"/>
        <v>5</v>
      </c>
    </row>
    <row r="114">
      <c r="A114" s="38" t="s">
        <v>131</v>
      </c>
      <c r="B114" s="39">
        <v>2.0</v>
      </c>
      <c r="C114" s="40">
        <f t="shared" si="33"/>
        <v>0.06666666667</v>
      </c>
      <c r="D114" s="41">
        <v>95.0</v>
      </c>
      <c r="E114" s="42">
        <f t="shared" si="34"/>
        <v>6.333333333</v>
      </c>
      <c r="F114" s="41">
        <v>95.0</v>
      </c>
      <c r="G114" s="42">
        <f t="shared" si="35"/>
        <v>6.333333333</v>
      </c>
      <c r="H114" s="41">
        <v>60.0</v>
      </c>
      <c r="I114" s="42">
        <f t="shared" si="36"/>
        <v>4</v>
      </c>
    </row>
    <row r="115">
      <c r="A115" s="43" t="s">
        <v>18</v>
      </c>
      <c r="B115" s="44">
        <f t="shared" ref="B115:C115" si="37">SUM(B105:B114)</f>
        <v>30</v>
      </c>
      <c r="C115" s="45">
        <f t="shared" si="37"/>
        <v>1</v>
      </c>
      <c r="D115" s="46">
        <f>SUM(E105:E114)/100</f>
        <v>0.78</v>
      </c>
      <c r="E115" s="33"/>
      <c r="F115" s="47">
        <f>SUM(G105:G114)/100</f>
        <v>0.8333333333</v>
      </c>
      <c r="G115" s="33"/>
      <c r="H115" s="46">
        <f>SUM(I105:I114)/100</f>
        <v>0.7283333333</v>
      </c>
      <c r="I115" s="33"/>
    </row>
    <row r="116">
      <c r="A116" s="30">
        <v>11.0</v>
      </c>
      <c r="B116" s="31" t="s">
        <v>132</v>
      </c>
      <c r="C116" s="3"/>
      <c r="D116" s="31" t="s">
        <v>133</v>
      </c>
      <c r="E116" s="3"/>
      <c r="F116" s="31" t="s">
        <v>134</v>
      </c>
      <c r="G116" s="3"/>
      <c r="H116" s="31" t="s">
        <v>135</v>
      </c>
      <c r="I116" s="3"/>
    </row>
    <row r="117">
      <c r="A117" s="48" t="s">
        <v>136</v>
      </c>
      <c r="B117" s="39">
        <v>4.0</v>
      </c>
      <c r="C117" s="40">
        <f t="shared" ref="C117:C126" si="38">B117/$B$127</f>
        <v>0.1333333333</v>
      </c>
      <c r="D117" s="41">
        <v>90.0</v>
      </c>
      <c r="E117" s="42">
        <f>D117*$C$117</f>
        <v>12</v>
      </c>
      <c r="F117" s="41">
        <v>80.0</v>
      </c>
      <c r="G117" s="42">
        <f>F117*$C$117</f>
        <v>10.66666667</v>
      </c>
      <c r="H117" s="41">
        <v>75.0</v>
      </c>
      <c r="I117" s="42">
        <f>H117*$C$117</f>
        <v>10</v>
      </c>
    </row>
    <row r="118">
      <c r="A118" s="38" t="s">
        <v>52</v>
      </c>
      <c r="B118" s="39">
        <v>5.0</v>
      </c>
      <c r="C118" s="40">
        <f t="shared" si="38"/>
        <v>0.1666666667</v>
      </c>
      <c r="D118" s="41">
        <v>75.0</v>
      </c>
      <c r="E118" s="42">
        <f>D118*$C$118</f>
        <v>12.5</v>
      </c>
      <c r="F118" s="41">
        <v>85.0</v>
      </c>
      <c r="G118" s="42">
        <f>F118*$C$118</f>
        <v>14.16666667</v>
      </c>
      <c r="H118" s="41">
        <v>70.0</v>
      </c>
      <c r="I118" s="42">
        <f>H118*$C$118</f>
        <v>11.66666667</v>
      </c>
    </row>
    <row r="119">
      <c r="A119" s="38" t="s">
        <v>137</v>
      </c>
      <c r="B119" s="39">
        <v>3.0</v>
      </c>
      <c r="C119" s="40">
        <f t="shared" si="38"/>
        <v>0.1</v>
      </c>
      <c r="D119" s="41">
        <v>70.0</v>
      </c>
      <c r="E119" s="42">
        <f>D119*$C$119</f>
        <v>7</v>
      </c>
      <c r="F119" s="41">
        <v>90.0</v>
      </c>
      <c r="G119" s="42">
        <f>F119*$C$119</f>
        <v>9</v>
      </c>
      <c r="H119" s="41">
        <v>95.0</v>
      </c>
      <c r="I119" s="42">
        <f>H119*$C$119</f>
        <v>9.5</v>
      </c>
    </row>
    <row r="120">
      <c r="A120" s="38" t="s">
        <v>138</v>
      </c>
      <c r="B120" s="39">
        <v>3.0</v>
      </c>
      <c r="C120" s="40">
        <f t="shared" si="38"/>
        <v>0.1</v>
      </c>
      <c r="D120" s="41">
        <v>85.0</v>
      </c>
      <c r="E120" s="42">
        <f>D120*$C$120</f>
        <v>8.5</v>
      </c>
      <c r="F120" s="41">
        <v>90.0</v>
      </c>
      <c r="G120" s="42">
        <f>F120*$C$120</f>
        <v>9</v>
      </c>
      <c r="H120" s="41">
        <v>90.0</v>
      </c>
      <c r="I120" s="42">
        <f>H120*$C$120</f>
        <v>9</v>
      </c>
    </row>
    <row r="121">
      <c r="A121" s="38" t="s">
        <v>139</v>
      </c>
      <c r="B121" s="39">
        <v>2.0</v>
      </c>
      <c r="C121" s="40">
        <f t="shared" si="38"/>
        <v>0.06666666667</v>
      </c>
      <c r="D121" s="41">
        <v>60.0</v>
      </c>
      <c r="E121" s="42">
        <f>D121*$C$121</f>
        <v>4</v>
      </c>
      <c r="F121" s="41">
        <v>95.0</v>
      </c>
      <c r="G121" s="42">
        <f>D121*$C$121</f>
        <v>4</v>
      </c>
      <c r="H121" s="41">
        <v>95.0</v>
      </c>
      <c r="I121" s="42">
        <f>D121*$C$121</f>
        <v>4</v>
      </c>
    </row>
    <row r="122">
      <c r="A122" s="38" t="s">
        <v>140</v>
      </c>
      <c r="B122" s="39">
        <v>3.0</v>
      </c>
      <c r="C122" s="40">
        <f t="shared" si="38"/>
        <v>0.1</v>
      </c>
      <c r="D122" s="41">
        <v>90.0</v>
      </c>
      <c r="E122" s="42">
        <f>D121*$C$121</f>
        <v>4</v>
      </c>
      <c r="F122" s="41">
        <v>85.0</v>
      </c>
      <c r="G122" s="42">
        <f>D121*$C$121</f>
        <v>4</v>
      </c>
      <c r="H122" s="41">
        <v>80.0</v>
      </c>
      <c r="I122" s="42">
        <f>D121*$C$121</f>
        <v>4</v>
      </c>
    </row>
    <row r="123">
      <c r="A123" s="38" t="s">
        <v>141</v>
      </c>
      <c r="B123" s="39">
        <v>2.0</v>
      </c>
      <c r="C123" s="40">
        <f t="shared" si="38"/>
        <v>0.06666666667</v>
      </c>
      <c r="D123" s="41">
        <v>70.0</v>
      </c>
      <c r="E123" s="42">
        <f t="shared" ref="E123:E126" si="39">D123*$C$123</f>
        <v>4.666666667</v>
      </c>
      <c r="F123" s="41">
        <v>90.0</v>
      </c>
      <c r="G123" s="42">
        <f t="shared" ref="G123:G126" si="40">F123*$C$123</f>
        <v>6</v>
      </c>
      <c r="H123" s="41">
        <v>85.0</v>
      </c>
      <c r="I123" s="42">
        <f t="shared" ref="I123:I126" si="41">H123*$C$123</f>
        <v>5.666666667</v>
      </c>
    </row>
    <row r="124">
      <c r="A124" s="38" t="s">
        <v>142</v>
      </c>
      <c r="B124" s="39">
        <v>3.0</v>
      </c>
      <c r="C124" s="40">
        <f t="shared" si="38"/>
        <v>0.1</v>
      </c>
      <c r="D124" s="41">
        <v>65.0</v>
      </c>
      <c r="E124" s="42">
        <f t="shared" si="39"/>
        <v>4.333333333</v>
      </c>
      <c r="F124" s="41">
        <v>90.0</v>
      </c>
      <c r="G124" s="42">
        <f t="shared" si="40"/>
        <v>6</v>
      </c>
      <c r="H124" s="41">
        <v>95.0</v>
      </c>
      <c r="I124" s="42">
        <f t="shared" si="41"/>
        <v>6.333333333</v>
      </c>
    </row>
    <row r="125">
      <c r="A125" s="38" t="s">
        <v>143</v>
      </c>
      <c r="B125" s="39">
        <v>3.0</v>
      </c>
      <c r="C125" s="40">
        <f t="shared" si="38"/>
        <v>0.1</v>
      </c>
      <c r="D125" s="41">
        <v>70.0</v>
      </c>
      <c r="E125" s="42">
        <f t="shared" si="39"/>
        <v>4.666666667</v>
      </c>
      <c r="F125" s="41">
        <v>85.0</v>
      </c>
      <c r="G125" s="42">
        <f t="shared" si="40"/>
        <v>5.666666667</v>
      </c>
      <c r="H125" s="41">
        <v>80.0</v>
      </c>
      <c r="I125" s="42">
        <f t="shared" si="41"/>
        <v>5.333333333</v>
      </c>
    </row>
    <row r="126">
      <c r="A126" s="38" t="s">
        <v>144</v>
      </c>
      <c r="B126" s="39">
        <v>2.0</v>
      </c>
      <c r="C126" s="40">
        <f t="shared" si="38"/>
        <v>0.06666666667</v>
      </c>
      <c r="D126" s="41">
        <v>85.0</v>
      </c>
      <c r="E126" s="42">
        <f t="shared" si="39"/>
        <v>5.666666667</v>
      </c>
      <c r="F126" s="41">
        <v>80.0</v>
      </c>
      <c r="G126" s="42">
        <f t="shared" si="40"/>
        <v>5.333333333</v>
      </c>
      <c r="H126" s="41">
        <v>70.0</v>
      </c>
      <c r="I126" s="42">
        <f t="shared" si="41"/>
        <v>4.666666667</v>
      </c>
    </row>
    <row r="127">
      <c r="A127" s="43" t="s">
        <v>18</v>
      </c>
      <c r="B127" s="44">
        <f t="shared" ref="B127:C127" si="42">SUM(B117:B126)</f>
        <v>30</v>
      </c>
      <c r="C127" s="45">
        <f t="shared" si="42"/>
        <v>1</v>
      </c>
      <c r="D127" s="46">
        <f>SUM(E117:E126)/100</f>
        <v>0.6733333333</v>
      </c>
      <c r="E127" s="33"/>
      <c r="F127" s="47">
        <f>SUM(G117:G126)/100</f>
        <v>0.7383333333</v>
      </c>
      <c r="G127" s="33"/>
      <c r="H127" s="49">
        <f>SUM(I117:I126)/100</f>
        <v>0.7016666667</v>
      </c>
      <c r="I127" s="33"/>
    </row>
    <row r="128">
      <c r="A128" s="30">
        <v>12.0</v>
      </c>
      <c r="B128" s="31" t="s">
        <v>145</v>
      </c>
      <c r="C128" s="3"/>
      <c r="D128" s="31" t="s">
        <v>146</v>
      </c>
      <c r="E128" s="3"/>
      <c r="F128" s="31" t="s">
        <v>147</v>
      </c>
      <c r="G128" s="3"/>
      <c r="H128" s="31" t="s">
        <v>148</v>
      </c>
      <c r="I128" s="3"/>
    </row>
    <row r="129">
      <c r="A129" s="38" t="s">
        <v>60</v>
      </c>
      <c r="B129" s="39">
        <v>5.0</v>
      </c>
      <c r="C129" s="40">
        <f t="shared" ref="C129:C138" si="43">B129/$B$139</f>
        <v>0.1666666667</v>
      </c>
      <c r="D129" s="41">
        <v>95.0</v>
      </c>
      <c r="E129" s="42">
        <f>D129*$C$129</f>
        <v>15.83333333</v>
      </c>
      <c r="F129" s="41">
        <v>75.0</v>
      </c>
      <c r="G129" s="42">
        <f>F129*$C$129</f>
        <v>12.5</v>
      </c>
      <c r="H129" s="41">
        <v>65.0</v>
      </c>
      <c r="I129" s="42">
        <f>H129*$C$129</f>
        <v>10.83333333</v>
      </c>
    </row>
    <row r="130">
      <c r="A130" s="38" t="s">
        <v>149</v>
      </c>
      <c r="B130" s="39">
        <v>4.0</v>
      </c>
      <c r="C130" s="40">
        <f t="shared" si="43"/>
        <v>0.1333333333</v>
      </c>
      <c r="D130" s="41">
        <v>70.0</v>
      </c>
      <c r="E130" s="42">
        <f>D130*$C$130</f>
        <v>9.333333333</v>
      </c>
      <c r="F130" s="41">
        <v>90.0</v>
      </c>
      <c r="G130" s="42">
        <f>F130*$C$130</f>
        <v>12</v>
      </c>
      <c r="H130" s="41">
        <v>80.0</v>
      </c>
      <c r="I130" s="42">
        <f>H130*$C$130</f>
        <v>10.66666667</v>
      </c>
    </row>
    <row r="131">
      <c r="A131" s="38" t="s">
        <v>150</v>
      </c>
      <c r="B131" s="39">
        <v>2.0</v>
      </c>
      <c r="C131" s="40">
        <f t="shared" si="43"/>
        <v>0.06666666667</v>
      </c>
      <c r="D131" s="41">
        <v>80.0</v>
      </c>
      <c r="E131" s="42">
        <f>D131*$C$131</f>
        <v>5.333333333</v>
      </c>
      <c r="F131" s="41">
        <v>85.0</v>
      </c>
      <c r="G131" s="42">
        <f>F131*$C$131</f>
        <v>5.666666667</v>
      </c>
      <c r="H131" s="41">
        <v>90.0</v>
      </c>
      <c r="I131" s="42">
        <f>H131*$C$131</f>
        <v>6</v>
      </c>
    </row>
    <row r="132">
      <c r="A132" s="38" t="s">
        <v>33</v>
      </c>
      <c r="B132" s="39">
        <v>3.0</v>
      </c>
      <c r="C132" s="40">
        <f t="shared" si="43"/>
        <v>0.1</v>
      </c>
      <c r="D132" s="41">
        <v>70.0</v>
      </c>
      <c r="E132" s="42">
        <f>D132*$C$132</f>
        <v>7</v>
      </c>
      <c r="F132" s="41">
        <v>85.0</v>
      </c>
      <c r="G132" s="42">
        <f>F132*$C$132</f>
        <v>8.5</v>
      </c>
      <c r="H132" s="41">
        <v>95.0</v>
      </c>
      <c r="I132" s="42">
        <f>H132*$C$132</f>
        <v>9.5</v>
      </c>
    </row>
    <row r="133">
      <c r="A133" s="38" t="s">
        <v>151</v>
      </c>
      <c r="B133" s="39">
        <v>3.0</v>
      </c>
      <c r="C133" s="40">
        <f t="shared" si="43"/>
        <v>0.1</v>
      </c>
      <c r="D133" s="41">
        <v>85.0</v>
      </c>
      <c r="E133" s="42">
        <f>D133*$C$133</f>
        <v>8.5</v>
      </c>
      <c r="F133" s="41">
        <v>90.0</v>
      </c>
      <c r="G133" s="42">
        <f>F133*$C$133</f>
        <v>9</v>
      </c>
      <c r="H133" s="41">
        <v>75.0</v>
      </c>
      <c r="I133" s="42">
        <f>H133*$C$133</f>
        <v>7.5</v>
      </c>
    </row>
    <row r="134">
      <c r="A134" s="38" t="s">
        <v>152</v>
      </c>
      <c r="B134" s="39">
        <v>3.0</v>
      </c>
      <c r="C134" s="40">
        <f t="shared" si="43"/>
        <v>0.1</v>
      </c>
      <c r="D134" s="41">
        <v>70.0</v>
      </c>
      <c r="E134" s="42">
        <f t="shared" ref="E134:E138" si="44">D134*$C$134</f>
        <v>7</v>
      </c>
      <c r="F134" s="41">
        <v>95.0</v>
      </c>
      <c r="G134" s="42">
        <f t="shared" ref="G134:G138" si="45">F134*$C$134</f>
        <v>9.5</v>
      </c>
      <c r="H134" s="41">
        <v>65.0</v>
      </c>
      <c r="I134" s="42">
        <f t="shared" ref="I134:I138" si="46">H134*$C$134</f>
        <v>6.5</v>
      </c>
    </row>
    <row r="135">
      <c r="A135" s="38" t="s">
        <v>153</v>
      </c>
      <c r="B135" s="39">
        <v>3.0</v>
      </c>
      <c r="C135" s="40">
        <f t="shared" si="43"/>
        <v>0.1</v>
      </c>
      <c r="D135" s="41">
        <v>90.0</v>
      </c>
      <c r="E135" s="42">
        <f t="shared" si="44"/>
        <v>9</v>
      </c>
      <c r="F135" s="41">
        <v>70.0</v>
      </c>
      <c r="G135" s="42">
        <f t="shared" si="45"/>
        <v>7</v>
      </c>
      <c r="H135" s="41">
        <v>65.0</v>
      </c>
      <c r="I135" s="42">
        <f t="shared" si="46"/>
        <v>6.5</v>
      </c>
    </row>
    <row r="136">
      <c r="A136" s="38" t="s">
        <v>154</v>
      </c>
      <c r="B136" s="39">
        <v>2.0</v>
      </c>
      <c r="C136" s="40">
        <f t="shared" si="43"/>
        <v>0.06666666667</v>
      </c>
      <c r="D136" s="41">
        <v>80.0</v>
      </c>
      <c r="E136" s="42">
        <f t="shared" si="44"/>
        <v>8</v>
      </c>
      <c r="F136" s="41">
        <v>75.0</v>
      </c>
      <c r="G136" s="42">
        <f t="shared" si="45"/>
        <v>7.5</v>
      </c>
      <c r="H136" s="41">
        <v>60.0</v>
      </c>
      <c r="I136" s="42">
        <f t="shared" si="46"/>
        <v>6</v>
      </c>
    </row>
    <row r="137">
      <c r="A137" s="38" t="s">
        <v>155</v>
      </c>
      <c r="B137" s="39">
        <v>3.0</v>
      </c>
      <c r="C137" s="40">
        <f t="shared" si="43"/>
        <v>0.1</v>
      </c>
      <c r="D137" s="41">
        <v>75.0</v>
      </c>
      <c r="E137" s="42">
        <f t="shared" si="44"/>
        <v>7.5</v>
      </c>
      <c r="F137" s="41">
        <v>85.0</v>
      </c>
      <c r="G137" s="42">
        <f t="shared" si="45"/>
        <v>8.5</v>
      </c>
      <c r="H137" s="41">
        <v>85.0</v>
      </c>
      <c r="I137" s="42">
        <f t="shared" si="46"/>
        <v>8.5</v>
      </c>
    </row>
    <row r="138">
      <c r="A138" s="38" t="s">
        <v>156</v>
      </c>
      <c r="B138" s="39">
        <v>2.0</v>
      </c>
      <c r="C138" s="40">
        <f t="shared" si="43"/>
        <v>0.06666666667</v>
      </c>
      <c r="D138" s="41">
        <v>90.0</v>
      </c>
      <c r="E138" s="42">
        <f t="shared" si="44"/>
        <v>9</v>
      </c>
      <c r="F138" s="41">
        <v>85.0</v>
      </c>
      <c r="G138" s="42">
        <f t="shared" si="45"/>
        <v>8.5</v>
      </c>
      <c r="H138" s="41">
        <v>80.0</v>
      </c>
      <c r="I138" s="42">
        <f t="shared" si="46"/>
        <v>8</v>
      </c>
    </row>
    <row r="139">
      <c r="A139" s="43" t="s">
        <v>18</v>
      </c>
      <c r="B139" s="44">
        <f t="shared" ref="B139:C139" si="47">SUM(B129:B138)</f>
        <v>30</v>
      </c>
      <c r="C139" s="45">
        <f t="shared" si="47"/>
        <v>1</v>
      </c>
      <c r="D139" s="47">
        <f>SUM(E129:E138)/100</f>
        <v>0.865</v>
      </c>
      <c r="E139" s="33"/>
      <c r="F139" s="46">
        <f>SUM(G129:G138)/100</f>
        <v>0.8866666667</v>
      </c>
      <c r="G139" s="33"/>
      <c r="H139" s="46">
        <f>SUM(I129:I138)/100</f>
        <v>0.8</v>
      </c>
      <c r="I139" s="33"/>
    </row>
    <row r="140">
      <c r="A140" s="30">
        <v>13.0</v>
      </c>
      <c r="B140" s="31" t="s">
        <v>163</v>
      </c>
      <c r="C140" s="3"/>
      <c r="D140" s="31" t="s">
        <v>164</v>
      </c>
      <c r="E140" s="3"/>
      <c r="F140" s="31" t="s">
        <v>165</v>
      </c>
      <c r="G140" s="3"/>
      <c r="H140" s="31" t="s">
        <v>166</v>
      </c>
      <c r="I140" s="3"/>
    </row>
    <row r="141">
      <c r="A141" s="48" t="s">
        <v>167</v>
      </c>
      <c r="B141" s="39">
        <v>5.0</v>
      </c>
      <c r="C141" s="40">
        <f t="shared" ref="C141:C149" si="48">B141/$B$150</f>
        <v>0.2380952381</v>
      </c>
      <c r="D141" s="41">
        <v>90.0</v>
      </c>
      <c r="E141" s="42">
        <f>D141*$C$141</f>
        <v>21.42857143</v>
      </c>
      <c r="F141" s="41">
        <v>95.0</v>
      </c>
      <c r="G141" s="42">
        <f>F141*$C$141</f>
        <v>22.61904762</v>
      </c>
      <c r="H141" s="41">
        <v>70.0</v>
      </c>
      <c r="I141" s="42">
        <f>H141*$C$141</f>
        <v>16.66666667</v>
      </c>
    </row>
    <row r="142">
      <c r="A142" s="48" t="s">
        <v>33</v>
      </c>
      <c r="B142" s="39">
        <v>4.0</v>
      </c>
      <c r="C142" s="40">
        <f t="shared" si="48"/>
        <v>0.1904761905</v>
      </c>
      <c r="D142" s="41">
        <v>70.0</v>
      </c>
      <c r="E142" s="42">
        <f>D142*$C$142</f>
        <v>13.33333333</v>
      </c>
      <c r="F142" s="41">
        <v>95.0</v>
      </c>
      <c r="G142" s="42">
        <f>F142*$C$142</f>
        <v>18.0952381</v>
      </c>
      <c r="H142" s="41">
        <v>45.0</v>
      </c>
      <c r="I142" s="42">
        <f>H142*$C$142</f>
        <v>8.571428571</v>
      </c>
    </row>
    <row r="143">
      <c r="A143" s="38" t="s">
        <v>37</v>
      </c>
      <c r="B143" s="39">
        <v>4.0</v>
      </c>
      <c r="C143" s="40">
        <f t="shared" si="48"/>
        <v>0.1904761905</v>
      </c>
      <c r="D143" s="41">
        <v>90.0</v>
      </c>
      <c r="E143" s="42">
        <f>D143*$C$143</f>
        <v>17.14285714</v>
      </c>
      <c r="F143" s="41">
        <v>95.0</v>
      </c>
      <c r="G143" s="42">
        <f>F143*$C$143</f>
        <v>18.0952381</v>
      </c>
      <c r="H143" s="41">
        <v>50.0</v>
      </c>
      <c r="I143" s="42">
        <f>H143*$C$143</f>
        <v>9.523809524</v>
      </c>
    </row>
    <row r="144">
      <c r="A144" s="38" t="s">
        <v>168</v>
      </c>
      <c r="B144" s="39">
        <v>3.0</v>
      </c>
      <c r="C144" s="40">
        <f t="shared" si="48"/>
        <v>0.1428571429</v>
      </c>
      <c r="D144" s="41">
        <v>85.0</v>
      </c>
      <c r="E144" s="42">
        <f>D144*$C$144</f>
        <v>12.14285714</v>
      </c>
      <c r="F144" s="41">
        <v>90.0</v>
      </c>
      <c r="G144" s="42">
        <f>F144*$C$144</f>
        <v>12.85714286</v>
      </c>
      <c r="H144" s="41">
        <v>40.0</v>
      </c>
      <c r="I144" s="42">
        <f>H144*$C$144</f>
        <v>5.714285714</v>
      </c>
    </row>
    <row r="145">
      <c r="A145" s="38" t="s">
        <v>169</v>
      </c>
      <c r="B145" s="39">
        <v>2.0</v>
      </c>
      <c r="C145" s="40">
        <f t="shared" si="48"/>
        <v>0.09523809524</v>
      </c>
      <c r="D145" s="41">
        <v>85.0</v>
      </c>
      <c r="E145" s="42">
        <f>D145*$C$145</f>
        <v>8.095238095</v>
      </c>
      <c r="F145" s="41">
        <v>95.0</v>
      </c>
      <c r="G145" s="42">
        <f>F145*$C$145</f>
        <v>9.047619048</v>
      </c>
      <c r="H145" s="41">
        <v>65.0</v>
      </c>
      <c r="I145" s="42">
        <f>H145*$C$145</f>
        <v>6.19047619</v>
      </c>
    </row>
    <row r="146">
      <c r="A146" s="38" t="s">
        <v>143</v>
      </c>
      <c r="B146" s="39">
        <v>3.0</v>
      </c>
      <c r="C146" s="40">
        <f t="shared" si="48"/>
        <v>0.1428571429</v>
      </c>
      <c r="D146" s="41">
        <v>90.0</v>
      </c>
      <c r="E146" s="42">
        <f>D146*$C$146</f>
        <v>12.85714286</v>
      </c>
      <c r="F146" s="41">
        <v>75.0</v>
      </c>
      <c r="G146" s="42">
        <f>F146*$C$146</f>
        <v>10.71428571</v>
      </c>
      <c r="H146" s="41">
        <v>90.0</v>
      </c>
      <c r="I146" s="42">
        <f>H146*$C$146</f>
        <v>12.85714286</v>
      </c>
    </row>
    <row r="147">
      <c r="A147" s="38" t="s">
        <v>52</v>
      </c>
      <c r="B147" s="51">
        <v>2.0</v>
      </c>
      <c r="C147" s="52">
        <f t="shared" si="48"/>
        <v>0.09523809524</v>
      </c>
      <c r="D147" s="53">
        <v>85.0</v>
      </c>
      <c r="E147" s="54">
        <f>D147*$C$147</f>
        <v>8.095238095</v>
      </c>
      <c r="F147" s="58">
        <v>80.0</v>
      </c>
      <c r="G147" s="54">
        <f>F147*$C$147</f>
        <v>7.619047619</v>
      </c>
      <c r="H147" s="53">
        <v>60.0</v>
      </c>
      <c r="I147" s="54">
        <f>H147*$C$147</f>
        <v>5.714285714</v>
      </c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</row>
    <row r="148">
      <c r="A148" s="38" t="s">
        <v>81</v>
      </c>
      <c r="B148" s="59">
        <v>3.0</v>
      </c>
      <c r="C148" s="52">
        <f t="shared" si="48"/>
        <v>0.1428571429</v>
      </c>
      <c r="D148" s="53">
        <v>90.0</v>
      </c>
      <c r="E148" s="54">
        <f>D148*$C$148</f>
        <v>12.85714286</v>
      </c>
      <c r="F148" s="53">
        <v>95.0</v>
      </c>
      <c r="G148" s="54">
        <f>F148*$C$148</f>
        <v>13.57142857</v>
      </c>
      <c r="H148" s="53">
        <v>30.0</v>
      </c>
      <c r="I148" s="54">
        <f>H148*$C$148</f>
        <v>4.285714286</v>
      </c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</row>
    <row r="149">
      <c r="A149" s="38" t="s">
        <v>127</v>
      </c>
      <c r="B149" s="51">
        <v>2.0</v>
      </c>
      <c r="C149" s="52">
        <f t="shared" si="48"/>
        <v>0.09523809524</v>
      </c>
      <c r="D149" s="53">
        <v>90.0</v>
      </c>
      <c r="E149" s="54">
        <f>D149*$C$149</f>
        <v>8.571428571</v>
      </c>
      <c r="F149" s="53">
        <v>75.0</v>
      </c>
      <c r="G149" s="54">
        <f>F149*$C$149</f>
        <v>7.142857143</v>
      </c>
      <c r="H149" s="53">
        <v>90.0</v>
      </c>
      <c r="I149" s="54">
        <f>H149*$C$149</f>
        <v>8.571428571</v>
      </c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</row>
    <row r="150">
      <c r="A150" s="43" t="s">
        <v>18</v>
      </c>
      <c r="B150" s="44">
        <f t="shared" ref="B150:C150" si="49">SUM(B141:B146)</f>
        <v>21</v>
      </c>
      <c r="C150" s="45">
        <f t="shared" si="49"/>
        <v>1</v>
      </c>
      <c r="D150" s="46">
        <f>SUM(E141:E146)/100</f>
        <v>0.85</v>
      </c>
      <c r="E150" s="33"/>
      <c r="F150" s="49">
        <f>SUM(G141:G146)/100</f>
        <v>0.9142857143</v>
      </c>
      <c r="G150" s="33"/>
      <c r="H150" s="47">
        <f>SUM(I141:I146)/100</f>
        <v>0.5952380952</v>
      </c>
      <c r="I150" s="33"/>
    </row>
    <row r="151">
      <c r="A151" s="30">
        <v>4.1</v>
      </c>
      <c r="B151" s="31" t="s">
        <v>170</v>
      </c>
      <c r="C151" s="3"/>
      <c r="D151" s="31" t="s">
        <v>171</v>
      </c>
      <c r="E151" s="3"/>
      <c r="F151" s="31" t="s">
        <v>172</v>
      </c>
      <c r="G151" s="3"/>
      <c r="H151" s="31" t="s">
        <v>173</v>
      </c>
      <c r="I151" s="3"/>
    </row>
    <row r="152">
      <c r="A152" s="48" t="s">
        <v>174</v>
      </c>
      <c r="B152" s="39">
        <v>5.0</v>
      </c>
      <c r="C152" s="40">
        <f t="shared" ref="C152:C159" si="50">B152/$B$160</f>
        <v>0.1724137931</v>
      </c>
      <c r="D152" s="41">
        <v>85.0</v>
      </c>
      <c r="E152" s="42">
        <f>D152*$C$152</f>
        <v>14.65517241</v>
      </c>
      <c r="F152" s="41">
        <v>70.0</v>
      </c>
      <c r="G152" s="42">
        <f>F152*$C$152</f>
        <v>12.06896552</v>
      </c>
      <c r="H152" s="41">
        <v>90.0</v>
      </c>
      <c r="I152" s="42">
        <f>H152*$C$152</f>
        <v>15.51724138</v>
      </c>
    </row>
    <row r="153">
      <c r="A153" s="48" t="s">
        <v>168</v>
      </c>
      <c r="B153" s="39">
        <v>5.0</v>
      </c>
      <c r="C153" s="40">
        <f t="shared" si="50"/>
        <v>0.1724137931</v>
      </c>
      <c r="D153" s="41">
        <v>80.0</v>
      </c>
      <c r="E153" s="42">
        <f>D153*$C$153</f>
        <v>13.79310345</v>
      </c>
      <c r="F153" s="41">
        <v>70.0</v>
      </c>
      <c r="G153" s="42">
        <f>F153*$C$153</f>
        <v>12.06896552</v>
      </c>
      <c r="H153" s="41">
        <v>85.0</v>
      </c>
      <c r="I153" s="42">
        <f>H153*$C$153</f>
        <v>14.65517241</v>
      </c>
    </row>
    <row r="154">
      <c r="A154" s="48" t="s">
        <v>33</v>
      </c>
      <c r="B154" s="39">
        <v>4.0</v>
      </c>
      <c r="C154" s="40">
        <f t="shared" si="50"/>
        <v>0.1379310345</v>
      </c>
      <c r="D154" s="41">
        <v>80.0</v>
      </c>
      <c r="E154" s="42">
        <f>D154*$C$154</f>
        <v>11.03448276</v>
      </c>
      <c r="F154" s="41">
        <v>60.0</v>
      </c>
      <c r="G154" s="42">
        <f>F154*$C$154</f>
        <v>8.275862069</v>
      </c>
      <c r="H154" s="41">
        <v>80.0</v>
      </c>
      <c r="I154" s="42">
        <f>H154*$C$154</f>
        <v>11.03448276</v>
      </c>
    </row>
    <row r="155">
      <c r="A155" s="48" t="s">
        <v>82</v>
      </c>
      <c r="B155" s="39">
        <v>4.0</v>
      </c>
      <c r="C155" s="40">
        <f t="shared" si="50"/>
        <v>0.1379310345</v>
      </c>
      <c r="D155" s="41">
        <v>80.0</v>
      </c>
      <c r="E155" s="42">
        <f>D155*$C$155</f>
        <v>11.03448276</v>
      </c>
      <c r="F155" s="41">
        <v>55.0</v>
      </c>
      <c r="G155" s="42">
        <f>F155*$C$155</f>
        <v>7.586206897</v>
      </c>
      <c r="H155" s="41">
        <v>90.0</v>
      </c>
      <c r="I155" s="42">
        <f>H155*$C$155</f>
        <v>12.4137931</v>
      </c>
    </row>
    <row r="156">
      <c r="A156" s="48" t="s">
        <v>37</v>
      </c>
      <c r="B156" s="39">
        <v>3.0</v>
      </c>
      <c r="C156" s="40">
        <f t="shared" si="50"/>
        <v>0.1034482759</v>
      </c>
      <c r="D156" s="41">
        <v>85.0</v>
      </c>
      <c r="E156" s="42">
        <f>D156*$C$156</f>
        <v>8.793103448</v>
      </c>
      <c r="F156" s="41">
        <v>70.0</v>
      </c>
      <c r="G156" s="42">
        <f>F156*$C$156</f>
        <v>7.24137931</v>
      </c>
      <c r="H156" s="41">
        <v>80.0</v>
      </c>
      <c r="I156" s="42">
        <f>H156*$C$156</f>
        <v>8.275862069</v>
      </c>
    </row>
    <row r="157">
      <c r="A157" s="48" t="s">
        <v>175</v>
      </c>
      <c r="B157" s="39">
        <v>3.0</v>
      </c>
      <c r="C157" s="40">
        <f t="shared" si="50"/>
        <v>0.1034482759</v>
      </c>
      <c r="D157" s="41">
        <v>75.0</v>
      </c>
      <c r="E157" s="42">
        <f>D157*$C$157</f>
        <v>7.75862069</v>
      </c>
      <c r="F157" s="41">
        <v>90.0</v>
      </c>
      <c r="G157" s="42">
        <f>F157*$C$157</f>
        <v>9.310344828</v>
      </c>
      <c r="H157" s="41">
        <v>65.0</v>
      </c>
      <c r="I157" s="42">
        <f>H157*$C$157</f>
        <v>6.724137931</v>
      </c>
    </row>
    <row r="158">
      <c r="A158" s="48" t="s">
        <v>176</v>
      </c>
      <c r="B158" s="39">
        <v>3.0</v>
      </c>
      <c r="C158" s="40">
        <f t="shared" si="50"/>
        <v>0.1034482759</v>
      </c>
      <c r="D158" s="41">
        <v>80.0</v>
      </c>
      <c r="E158" s="42">
        <f>D158*$C$158</f>
        <v>8.275862069</v>
      </c>
      <c r="F158" s="41">
        <v>75.0</v>
      </c>
      <c r="G158" s="42">
        <f>F158*$C$158</f>
        <v>7.75862069</v>
      </c>
      <c r="H158" s="41">
        <v>85.0</v>
      </c>
      <c r="I158" s="42">
        <f>H158*$C$158</f>
        <v>8.793103448</v>
      </c>
    </row>
    <row r="159">
      <c r="A159" s="48" t="s">
        <v>177</v>
      </c>
      <c r="B159" s="39">
        <v>2.0</v>
      </c>
      <c r="C159" s="40">
        <f t="shared" si="50"/>
        <v>0.06896551724</v>
      </c>
      <c r="D159" s="41">
        <v>90.0</v>
      </c>
      <c r="E159" s="42">
        <f>D159*$C$159</f>
        <v>6.206896552</v>
      </c>
      <c r="F159" s="41">
        <v>50.0</v>
      </c>
      <c r="G159" s="42">
        <f>F159*$C$159</f>
        <v>3.448275862</v>
      </c>
      <c r="H159" s="41">
        <v>90.0</v>
      </c>
      <c r="I159" s="42">
        <f>H159*$C$159</f>
        <v>6.206896552</v>
      </c>
    </row>
    <row r="160">
      <c r="A160" s="43" t="s">
        <v>18</v>
      </c>
      <c r="B160" s="44">
        <f t="shared" ref="B160:C160" si="51">SUM(B152:B159)</f>
        <v>29</v>
      </c>
      <c r="C160" s="45">
        <f t="shared" si="51"/>
        <v>1</v>
      </c>
      <c r="D160" s="49">
        <f>SUM(E152:E159)/100</f>
        <v>0.8155172414</v>
      </c>
      <c r="E160" s="33"/>
      <c r="F160" s="46">
        <f>SUM(G152:G159)/100</f>
        <v>0.6775862069</v>
      </c>
      <c r="G160" s="33"/>
      <c r="H160" s="47">
        <f>SUM(I152:I159)/100</f>
        <v>0.8362068966</v>
      </c>
      <c r="I160" s="33"/>
    </row>
    <row r="161">
      <c r="A161" s="30">
        <v>4.2</v>
      </c>
      <c r="B161" s="31" t="s">
        <v>178</v>
      </c>
      <c r="C161" s="3"/>
      <c r="D161" s="31" t="s">
        <v>179</v>
      </c>
      <c r="E161" s="3"/>
      <c r="F161" s="31" t="s">
        <v>180</v>
      </c>
      <c r="G161" s="3"/>
      <c r="H161" s="31" t="s">
        <v>181</v>
      </c>
      <c r="I161" s="3"/>
    </row>
    <row r="162">
      <c r="A162" s="48" t="s">
        <v>33</v>
      </c>
      <c r="B162" s="39">
        <v>4.0</v>
      </c>
      <c r="C162" s="40">
        <f t="shared" ref="C162:C169" si="52">B162/$B$170</f>
        <v>0.16</v>
      </c>
      <c r="D162" s="41">
        <v>60.0</v>
      </c>
      <c r="E162" s="42">
        <f>D162*$C$162</f>
        <v>9.6</v>
      </c>
      <c r="F162" s="41">
        <v>85.0</v>
      </c>
      <c r="G162" s="42">
        <f>F162*$C$162</f>
        <v>13.6</v>
      </c>
      <c r="H162" s="41">
        <v>75.0</v>
      </c>
      <c r="I162" s="42">
        <f>H162*$C$162</f>
        <v>12</v>
      </c>
    </row>
    <row r="163">
      <c r="A163" s="48" t="s">
        <v>182</v>
      </c>
      <c r="B163" s="39">
        <v>5.0</v>
      </c>
      <c r="C163" s="40">
        <f t="shared" si="52"/>
        <v>0.2</v>
      </c>
      <c r="D163" s="41">
        <v>80.0</v>
      </c>
      <c r="E163" s="42">
        <f>D163*$C$163</f>
        <v>16</v>
      </c>
      <c r="F163" s="41">
        <v>95.0</v>
      </c>
      <c r="G163" s="42">
        <f>F163*$C$163</f>
        <v>19</v>
      </c>
      <c r="H163" s="41">
        <v>80.0</v>
      </c>
      <c r="I163" s="42">
        <f>H163*$C$163</f>
        <v>16</v>
      </c>
    </row>
    <row r="164">
      <c r="A164" s="48" t="s">
        <v>183</v>
      </c>
      <c r="B164" s="39">
        <v>4.0</v>
      </c>
      <c r="C164" s="40">
        <f t="shared" si="52"/>
        <v>0.16</v>
      </c>
      <c r="D164" s="41">
        <v>55.0</v>
      </c>
      <c r="E164" s="42">
        <f>D164*$C$164</f>
        <v>8.8</v>
      </c>
      <c r="F164" s="41">
        <v>70.0</v>
      </c>
      <c r="G164" s="42">
        <f>F164*$C$164</f>
        <v>11.2</v>
      </c>
      <c r="H164" s="41">
        <v>70.0</v>
      </c>
      <c r="I164" s="42">
        <f>H164*$C$164</f>
        <v>11.2</v>
      </c>
    </row>
    <row r="165">
      <c r="A165" s="48" t="s">
        <v>48</v>
      </c>
      <c r="B165" s="39">
        <v>2.0</v>
      </c>
      <c r="C165" s="40">
        <f t="shared" si="52"/>
        <v>0.08</v>
      </c>
      <c r="D165" s="41">
        <v>90.0</v>
      </c>
      <c r="E165" s="42">
        <f>D165*$C$165</f>
        <v>7.2</v>
      </c>
      <c r="F165" s="41">
        <v>85.0</v>
      </c>
      <c r="G165" s="42">
        <f>F165*$C$165</f>
        <v>6.8</v>
      </c>
      <c r="H165" s="41">
        <v>75.0</v>
      </c>
      <c r="I165" s="42">
        <f>H165*$C$165</f>
        <v>6</v>
      </c>
    </row>
    <row r="166">
      <c r="A166" s="48" t="s">
        <v>184</v>
      </c>
      <c r="B166" s="39">
        <v>1.0</v>
      </c>
      <c r="C166" s="40">
        <f t="shared" si="52"/>
        <v>0.04</v>
      </c>
      <c r="D166" s="41">
        <v>60.0</v>
      </c>
      <c r="E166" s="42">
        <f>D166*$C$166</f>
        <v>2.4</v>
      </c>
      <c r="F166" s="41">
        <v>80.0</v>
      </c>
      <c r="G166" s="42">
        <f>F166*$C$166</f>
        <v>3.2</v>
      </c>
      <c r="H166" s="41">
        <v>70.0</v>
      </c>
      <c r="I166" s="42">
        <f>H166*$C$166</f>
        <v>2.8</v>
      </c>
    </row>
    <row r="167">
      <c r="A167" s="48" t="s">
        <v>65</v>
      </c>
      <c r="B167" s="39">
        <v>4.0</v>
      </c>
      <c r="C167" s="40">
        <f t="shared" si="52"/>
        <v>0.16</v>
      </c>
      <c r="D167" s="41">
        <v>80.0</v>
      </c>
      <c r="E167" s="42">
        <f>D167*$C$167</f>
        <v>12.8</v>
      </c>
      <c r="F167" s="41">
        <v>85.0</v>
      </c>
      <c r="G167" s="42">
        <f>F167*$C$167</f>
        <v>13.6</v>
      </c>
      <c r="H167" s="41">
        <v>80.0</v>
      </c>
      <c r="I167" s="42">
        <f>H167*$C$167</f>
        <v>12.8</v>
      </c>
    </row>
    <row r="168">
      <c r="A168" s="48" t="s">
        <v>168</v>
      </c>
      <c r="B168" s="39">
        <v>3.0</v>
      </c>
      <c r="C168" s="40">
        <f t="shared" si="52"/>
        <v>0.12</v>
      </c>
      <c r="D168" s="41">
        <v>70.0</v>
      </c>
      <c r="E168" s="42">
        <f>D168*$C$168</f>
        <v>8.4</v>
      </c>
      <c r="F168" s="41">
        <v>85.0</v>
      </c>
      <c r="G168" s="42">
        <f>F168*$C$168</f>
        <v>10.2</v>
      </c>
      <c r="H168" s="41">
        <v>80.0</v>
      </c>
      <c r="I168" s="42">
        <f>H168*$C$168</f>
        <v>9.6</v>
      </c>
    </row>
    <row r="169">
      <c r="A169" s="48" t="s">
        <v>37</v>
      </c>
      <c r="B169" s="39">
        <v>2.0</v>
      </c>
      <c r="C169" s="40">
        <f t="shared" si="52"/>
        <v>0.08</v>
      </c>
      <c r="D169" s="41">
        <v>50.0</v>
      </c>
      <c r="E169" s="42">
        <f>D169*$C$169</f>
        <v>4</v>
      </c>
      <c r="F169" s="41">
        <v>60.0</v>
      </c>
      <c r="G169" s="42">
        <f>F169*$C$169</f>
        <v>4.8</v>
      </c>
      <c r="H169" s="41">
        <v>70.0</v>
      </c>
      <c r="I169" s="42">
        <f>H169*$C$169</f>
        <v>5.6</v>
      </c>
    </row>
    <row r="170">
      <c r="A170" s="43" t="s">
        <v>18</v>
      </c>
      <c r="B170" s="44">
        <f t="shared" ref="B170:C170" si="53">SUM(B162:B169)</f>
        <v>25</v>
      </c>
      <c r="C170" s="45">
        <f t="shared" si="53"/>
        <v>1</v>
      </c>
      <c r="D170" s="46">
        <f>SUM(E162:E169)/100</f>
        <v>0.692</v>
      </c>
      <c r="E170" s="33"/>
      <c r="F170" s="47">
        <f>SUM(G162:G169)/100</f>
        <v>0.824</v>
      </c>
      <c r="G170" s="33"/>
      <c r="H170" s="46">
        <f>SUM(I162:I169)/100</f>
        <v>0.76</v>
      </c>
      <c r="I170" s="33"/>
    </row>
  </sheetData>
  <mergeCells count="118">
    <mergeCell ref="D54:E54"/>
    <mergeCell ref="F54:G54"/>
    <mergeCell ref="H54:I54"/>
    <mergeCell ref="B55:C55"/>
    <mergeCell ref="D55:E55"/>
    <mergeCell ref="F55:G55"/>
    <mergeCell ref="H55:I55"/>
    <mergeCell ref="D63:E63"/>
    <mergeCell ref="F63:G63"/>
    <mergeCell ref="H63:I63"/>
    <mergeCell ref="B64:C64"/>
    <mergeCell ref="D64:E64"/>
    <mergeCell ref="F64:G64"/>
    <mergeCell ref="H64:I64"/>
    <mergeCell ref="D73:E73"/>
    <mergeCell ref="F73:G73"/>
    <mergeCell ref="H73:I73"/>
    <mergeCell ref="B74:C74"/>
    <mergeCell ref="D74:E74"/>
    <mergeCell ref="F74:G74"/>
    <mergeCell ref="H74:I74"/>
    <mergeCell ref="D79:E79"/>
    <mergeCell ref="F79:G79"/>
    <mergeCell ref="H79:I79"/>
    <mergeCell ref="B80:C80"/>
    <mergeCell ref="D80:E80"/>
    <mergeCell ref="F80:G80"/>
    <mergeCell ref="H80:I80"/>
    <mergeCell ref="D92:E92"/>
    <mergeCell ref="F92:G92"/>
    <mergeCell ref="H92:I92"/>
    <mergeCell ref="B93:C93"/>
    <mergeCell ref="D93:E93"/>
    <mergeCell ref="F93:G93"/>
    <mergeCell ref="H93:I93"/>
    <mergeCell ref="D103:E103"/>
    <mergeCell ref="F103:G103"/>
    <mergeCell ref="H103:I103"/>
    <mergeCell ref="B104:C104"/>
    <mergeCell ref="D104:E104"/>
    <mergeCell ref="F104:G104"/>
    <mergeCell ref="H104:I104"/>
    <mergeCell ref="D115:E115"/>
    <mergeCell ref="F115:G115"/>
    <mergeCell ref="H115:I115"/>
    <mergeCell ref="B116:C116"/>
    <mergeCell ref="D116:E116"/>
    <mergeCell ref="F116:G116"/>
    <mergeCell ref="H116:I116"/>
    <mergeCell ref="D127:E127"/>
    <mergeCell ref="F127:G127"/>
    <mergeCell ref="H127:I127"/>
    <mergeCell ref="B128:C128"/>
    <mergeCell ref="D128:E128"/>
    <mergeCell ref="F128:G128"/>
    <mergeCell ref="H128:I128"/>
    <mergeCell ref="D150:E150"/>
    <mergeCell ref="F150:G150"/>
    <mergeCell ref="H150:I150"/>
    <mergeCell ref="B151:C151"/>
    <mergeCell ref="D151:E151"/>
    <mergeCell ref="F151:G151"/>
    <mergeCell ref="H151:I151"/>
    <mergeCell ref="D170:E170"/>
    <mergeCell ref="F170:G170"/>
    <mergeCell ref="H170:I170"/>
    <mergeCell ref="D160:E160"/>
    <mergeCell ref="F160:G160"/>
    <mergeCell ref="H160:I160"/>
    <mergeCell ref="B161:C161"/>
    <mergeCell ref="D161:E161"/>
    <mergeCell ref="F161:G161"/>
    <mergeCell ref="H161:I161"/>
    <mergeCell ref="B5:C5"/>
    <mergeCell ref="D5:E5"/>
    <mergeCell ref="F5:G5"/>
    <mergeCell ref="H5:I5"/>
    <mergeCell ref="D6:E6"/>
    <mergeCell ref="F6:G6"/>
    <mergeCell ref="H6:I6"/>
    <mergeCell ref="G7:G11"/>
    <mergeCell ref="H7:H11"/>
    <mergeCell ref="I7:I11"/>
    <mergeCell ref="B6:C6"/>
    <mergeCell ref="A7:A10"/>
    <mergeCell ref="B7:B11"/>
    <mergeCell ref="C7:C11"/>
    <mergeCell ref="D7:D11"/>
    <mergeCell ref="E7:E11"/>
    <mergeCell ref="F7:F11"/>
    <mergeCell ref="D21:E21"/>
    <mergeCell ref="F21:G21"/>
    <mergeCell ref="H21:I21"/>
    <mergeCell ref="B22:C22"/>
    <mergeCell ref="D22:E22"/>
    <mergeCell ref="F22:G22"/>
    <mergeCell ref="H22:I22"/>
    <mergeCell ref="D32:E32"/>
    <mergeCell ref="F32:G32"/>
    <mergeCell ref="H32:I32"/>
    <mergeCell ref="B33:C33"/>
    <mergeCell ref="D33:E33"/>
    <mergeCell ref="F33:G33"/>
    <mergeCell ref="H33:I33"/>
    <mergeCell ref="D43:E43"/>
    <mergeCell ref="F43:G43"/>
    <mergeCell ref="H43:I43"/>
    <mergeCell ref="B44:C44"/>
    <mergeCell ref="D44:E44"/>
    <mergeCell ref="F44:G44"/>
    <mergeCell ref="H44:I44"/>
    <mergeCell ref="D139:E139"/>
    <mergeCell ref="F139:G139"/>
    <mergeCell ref="H139:I139"/>
    <mergeCell ref="B140:C140"/>
    <mergeCell ref="D140:E140"/>
    <mergeCell ref="F140:G140"/>
    <mergeCell ref="H140:I140"/>
  </mergeCells>
  <printOptions horizontalCentered="1"/>
  <pageMargins bottom="0.75" footer="0.0" header="0.0" left="0.25" right="0.25" top="0.75"/>
  <pageSetup fitToHeight="0" paperSize="9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22.86"/>
    <col customWidth="1" min="7" max="7" width="16.29"/>
  </cols>
  <sheetData>
    <row r="1">
      <c r="A1" s="22" t="s">
        <v>21</v>
      </c>
      <c r="B1" s="23" t="s">
        <v>22</v>
      </c>
      <c r="C1" s="24"/>
      <c r="D1" s="24"/>
      <c r="E1" s="1" t="s">
        <v>12</v>
      </c>
      <c r="F1" s="1" t="s">
        <v>19</v>
      </c>
      <c r="G1" s="24"/>
      <c r="H1" s="24"/>
      <c r="I1" s="24"/>
    </row>
    <row r="2">
      <c r="A2" s="22" t="s">
        <v>23</v>
      </c>
      <c r="B2" s="23" t="s">
        <v>157</v>
      </c>
      <c r="C2" s="24"/>
      <c r="D2" s="24"/>
      <c r="E2" s="15"/>
      <c r="F2" s="1" t="s">
        <v>20</v>
      </c>
      <c r="G2" s="24"/>
      <c r="H2" s="24"/>
      <c r="I2" s="24"/>
    </row>
    <row r="3">
      <c r="A3" s="22" t="s">
        <v>25</v>
      </c>
      <c r="B3" s="25" t="s">
        <v>158</v>
      </c>
      <c r="C3" s="24"/>
      <c r="D3" s="24"/>
      <c r="E3" s="26"/>
      <c r="F3" s="27" t="s">
        <v>159</v>
      </c>
      <c r="G3" s="24"/>
      <c r="H3" s="24"/>
      <c r="I3" s="24"/>
    </row>
    <row r="4">
      <c r="A4" s="22"/>
      <c r="B4" s="23"/>
      <c r="C4" s="24"/>
      <c r="D4" s="24"/>
      <c r="E4" s="24"/>
      <c r="F4" s="24"/>
      <c r="G4" s="24"/>
      <c r="H4" s="24"/>
      <c r="I4" s="24"/>
    </row>
    <row r="5">
      <c r="A5" s="28"/>
      <c r="B5" s="29" t="s">
        <v>0</v>
      </c>
      <c r="C5" s="3"/>
      <c r="D5" s="29" t="s">
        <v>1</v>
      </c>
      <c r="E5" s="3"/>
      <c r="F5" s="29" t="s">
        <v>2</v>
      </c>
      <c r="G5" s="3"/>
      <c r="H5" s="29" t="s">
        <v>3</v>
      </c>
      <c r="I5" s="3"/>
    </row>
    <row r="6" ht="44.25" customHeight="1">
      <c r="A6" s="30">
        <v>1.0</v>
      </c>
      <c r="B6" s="31" t="s">
        <v>28</v>
      </c>
      <c r="C6" s="3"/>
      <c r="D6" s="32" t="s">
        <v>29</v>
      </c>
      <c r="E6" s="33"/>
      <c r="F6" s="32" t="s">
        <v>160</v>
      </c>
      <c r="G6" s="33"/>
      <c r="H6" s="32" t="s">
        <v>31</v>
      </c>
      <c r="I6" s="33"/>
    </row>
    <row r="7">
      <c r="A7" s="34" t="s">
        <v>185</v>
      </c>
      <c r="B7" s="35" t="s">
        <v>9</v>
      </c>
      <c r="C7" s="35" t="s">
        <v>10</v>
      </c>
      <c r="D7" s="35" t="s">
        <v>11</v>
      </c>
      <c r="E7" s="35" t="s">
        <v>12</v>
      </c>
      <c r="F7" s="35" t="s">
        <v>11</v>
      </c>
      <c r="G7" s="35" t="s">
        <v>12</v>
      </c>
      <c r="H7" s="35" t="s">
        <v>11</v>
      </c>
      <c r="I7" s="35" t="s">
        <v>12</v>
      </c>
    </row>
    <row r="8">
      <c r="A8" s="7"/>
      <c r="B8" s="36"/>
      <c r="C8" s="36"/>
      <c r="D8" s="36"/>
      <c r="E8" s="36"/>
      <c r="F8" s="36"/>
      <c r="G8" s="36"/>
      <c r="H8" s="36"/>
      <c r="I8" s="36"/>
    </row>
    <row r="9">
      <c r="A9" s="7"/>
      <c r="B9" s="36"/>
      <c r="C9" s="36"/>
      <c r="D9" s="36"/>
      <c r="E9" s="36"/>
      <c r="F9" s="36"/>
      <c r="G9" s="36"/>
      <c r="H9" s="36"/>
      <c r="I9" s="36"/>
    </row>
    <row r="10">
      <c r="A10" s="9"/>
      <c r="B10" s="36"/>
      <c r="C10" s="36"/>
      <c r="D10" s="36"/>
      <c r="E10" s="36"/>
      <c r="F10" s="36"/>
      <c r="G10" s="36"/>
      <c r="H10" s="36"/>
      <c r="I10" s="36"/>
    </row>
    <row r="11">
      <c r="A11" s="37" t="s">
        <v>13</v>
      </c>
      <c r="B11" s="33"/>
      <c r="C11" s="33"/>
      <c r="D11" s="33"/>
      <c r="E11" s="33"/>
      <c r="F11" s="33"/>
      <c r="G11" s="33"/>
      <c r="H11" s="33"/>
      <c r="I11" s="33"/>
    </row>
    <row r="12">
      <c r="A12" s="38" t="s">
        <v>33</v>
      </c>
      <c r="B12" s="39">
        <v>2.0</v>
      </c>
      <c r="C12" s="40">
        <f t="shared" ref="C12:C20" si="1">B12/$B$21</f>
        <v>0.06666666667</v>
      </c>
      <c r="D12" s="41">
        <v>80.0</v>
      </c>
      <c r="E12" s="42">
        <f>D12*$C$12</f>
        <v>5.333333333</v>
      </c>
      <c r="F12" s="41">
        <v>85.0</v>
      </c>
      <c r="G12" s="42">
        <f>F12*$C$12</f>
        <v>5.666666667</v>
      </c>
      <c r="H12" s="41">
        <v>60.0</v>
      </c>
      <c r="I12" s="42">
        <f>H12*$C$12</f>
        <v>4</v>
      </c>
    </row>
    <row r="13">
      <c r="A13" s="38" t="s">
        <v>34</v>
      </c>
      <c r="B13" s="39">
        <v>4.0</v>
      </c>
      <c r="C13" s="40">
        <f t="shared" si="1"/>
        <v>0.1333333333</v>
      </c>
      <c r="D13" s="41">
        <v>70.0</v>
      </c>
      <c r="E13" s="42">
        <f>D13*$C$13</f>
        <v>9.333333333</v>
      </c>
      <c r="F13" s="41">
        <v>90.0</v>
      </c>
      <c r="G13" s="42">
        <f>F13*$C$13</f>
        <v>12</v>
      </c>
      <c r="H13" s="41">
        <v>60.0</v>
      </c>
      <c r="I13" s="42">
        <f>H13*$C$13</f>
        <v>8</v>
      </c>
    </row>
    <row r="14" ht="15.0" customHeight="1">
      <c r="A14" s="38" t="s">
        <v>35</v>
      </c>
      <c r="B14" s="39">
        <v>5.0</v>
      </c>
      <c r="C14" s="40">
        <f t="shared" si="1"/>
        <v>0.1666666667</v>
      </c>
      <c r="D14" s="41">
        <v>75.0</v>
      </c>
      <c r="E14" s="42">
        <f>D14*$C$14</f>
        <v>12.5</v>
      </c>
      <c r="F14" s="41">
        <v>90.0</v>
      </c>
      <c r="G14" s="42">
        <f>F14*$C$14</f>
        <v>15</v>
      </c>
      <c r="H14" s="41">
        <v>95.0</v>
      </c>
      <c r="I14" s="42">
        <f>H14*$C$14</f>
        <v>15.83333333</v>
      </c>
    </row>
    <row r="15">
      <c r="A15" s="38" t="s">
        <v>36</v>
      </c>
      <c r="B15" s="39">
        <v>4.0</v>
      </c>
      <c r="C15" s="40">
        <f t="shared" si="1"/>
        <v>0.1333333333</v>
      </c>
      <c r="D15" s="41">
        <v>70.0</v>
      </c>
      <c r="E15" s="42">
        <f>D15*$C$15</f>
        <v>9.333333333</v>
      </c>
      <c r="F15" s="41">
        <v>85.0</v>
      </c>
      <c r="G15" s="42">
        <f>F15*$C$15</f>
        <v>11.33333333</v>
      </c>
      <c r="H15" s="41">
        <v>60.0</v>
      </c>
      <c r="I15" s="42">
        <f>H15*$C$15</f>
        <v>8</v>
      </c>
    </row>
    <row r="16">
      <c r="A16" s="38" t="s">
        <v>37</v>
      </c>
      <c r="B16" s="39">
        <v>4.0</v>
      </c>
      <c r="C16" s="40">
        <f t="shared" si="1"/>
        <v>0.1333333333</v>
      </c>
      <c r="D16" s="41">
        <v>85.0</v>
      </c>
      <c r="E16" s="42">
        <f>D16*$C$16</f>
        <v>11.33333333</v>
      </c>
      <c r="F16" s="41">
        <v>90.0</v>
      </c>
      <c r="G16" s="42">
        <f>F16*$C$16</f>
        <v>12</v>
      </c>
      <c r="H16" s="41">
        <v>80.0</v>
      </c>
      <c r="I16" s="42">
        <f>H16*$C$16</f>
        <v>10.66666667</v>
      </c>
    </row>
    <row r="17">
      <c r="A17" s="38" t="s">
        <v>38</v>
      </c>
      <c r="B17" s="39">
        <v>4.0</v>
      </c>
      <c r="C17" s="40">
        <f t="shared" si="1"/>
        <v>0.1333333333</v>
      </c>
      <c r="D17" s="41">
        <v>70.0</v>
      </c>
      <c r="E17" s="42">
        <f>D17*$C$17</f>
        <v>9.333333333</v>
      </c>
      <c r="F17" s="41">
        <v>80.0</v>
      </c>
      <c r="G17" s="42">
        <f>F17*$C$17</f>
        <v>10.66666667</v>
      </c>
      <c r="H17" s="41">
        <v>60.0</v>
      </c>
      <c r="I17" s="42">
        <f>H17*$C$17</f>
        <v>8</v>
      </c>
    </row>
    <row r="18">
      <c r="A18" s="38" t="s">
        <v>39</v>
      </c>
      <c r="B18" s="39">
        <v>3.0</v>
      </c>
      <c r="C18" s="40">
        <f t="shared" si="1"/>
        <v>0.1</v>
      </c>
      <c r="D18" s="41">
        <v>85.0</v>
      </c>
      <c r="E18" s="42">
        <f>D18*$C$18</f>
        <v>8.5</v>
      </c>
      <c r="F18" s="41">
        <v>85.0</v>
      </c>
      <c r="G18" s="42">
        <f>F18*$C$18</f>
        <v>8.5</v>
      </c>
      <c r="H18" s="41">
        <v>70.0</v>
      </c>
      <c r="I18" s="42">
        <f>H18*$C$18</f>
        <v>7</v>
      </c>
    </row>
    <row r="19">
      <c r="A19" s="38" t="s">
        <v>40</v>
      </c>
      <c r="B19" s="39">
        <v>2.0</v>
      </c>
      <c r="C19" s="40">
        <f t="shared" si="1"/>
        <v>0.06666666667</v>
      </c>
      <c r="D19" s="41">
        <v>80.0</v>
      </c>
      <c r="E19" s="42">
        <f>D19*$C$19</f>
        <v>5.333333333</v>
      </c>
      <c r="F19" s="41">
        <v>90.0</v>
      </c>
      <c r="G19" s="42">
        <f>F19*$C$19</f>
        <v>6</v>
      </c>
      <c r="H19" s="41">
        <v>60.0</v>
      </c>
      <c r="I19" s="42">
        <f>H19*$C$19</f>
        <v>4</v>
      </c>
    </row>
    <row r="20">
      <c r="A20" s="38" t="s">
        <v>41</v>
      </c>
      <c r="B20" s="39">
        <v>2.0</v>
      </c>
      <c r="C20" s="40">
        <f t="shared" si="1"/>
        <v>0.06666666667</v>
      </c>
      <c r="D20" s="41">
        <v>75.0</v>
      </c>
      <c r="E20" s="42">
        <f>D20*$C$20</f>
        <v>5</v>
      </c>
      <c r="F20" s="41">
        <v>95.0</v>
      </c>
      <c r="G20" s="42">
        <f>F20*$C$20</f>
        <v>6.333333333</v>
      </c>
      <c r="H20" s="41">
        <v>50.0</v>
      </c>
      <c r="I20" s="42">
        <f>H20*$C$20</f>
        <v>3.333333333</v>
      </c>
    </row>
    <row r="21">
      <c r="A21" s="43" t="s">
        <v>18</v>
      </c>
      <c r="B21" s="44">
        <f t="shared" ref="B21:C21" si="2">SUM(B12:B20)</f>
        <v>30</v>
      </c>
      <c r="C21" s="45">
        <f t="shared" si="2"/>
        <v>1</v>
      </c>
      <c r="D21" s="46">
        <f>SUM(E12:E20)/100</f>
        <v>0.76</v>
      </c>
      <c r="E21" s="33"/>
      <c r="F21" s="47">
        <f>SUM(G12:G20)/100</f>
        <v>0.875</v>
      </c>
      <c r="G21" s="33"/>
      <c r="H21" s="46">
        <f>SUM(I12:I20)/100</f>
        <v>0.6883333333</v>
      </c>
      <c r="I21" s="33"/>
    </row>
    <row r="22" ht="39.0" customHeight="1">
      <c r="A22" s="30">
        <v>2.0</v>
      </c>
      <c r="B22" s="31" t="s">
        <v>42</v>
      </c>
      <c r="C22" s="3"/>
      <c r="D22" s="31" t="s">
        <v>43</v>
      </c>
      <c r="E22" s="3"/>
      <c r="F22" s="31" t="s">
        <v>44</v>
      </c>
      <c r="G22" s="3"/>
      <c r="H22" s="32" t="s">
        <v>45</v>
      </c>
      <c r="I22" s="33"/>
    </row>
    <row r="23">
      <c r="A23" s="48" t="s">
        <v>46</v>
      </c>
      <c r="B23" s="39">
        <v>5.0</v>
      </c>
      <c r="C23" s="40">
        <f t="shared" ref="C23:C31" si="3">B23/$B$32</f>
        <v>0.1666666667</v>
      </c>
      <c r="D23" s="41">
        <v>80.0</v>
      </c>
      <c r="E23" s="42">
        <f>D23*$C$23</f>
        <v>13.33333333</v>
      </c>
      <c r="F23" s="41">
        <v>90.0</v>
      </c>
      <c r="G23" s="42">
        <f>F23*$C$23</f>
        <v>15</v>
      </c>
      <c r="H23" s="41">
        <v>85.0</v>
      </c>
      <c r="I23" s="42">
        <f>H23*$C$23</f>
        <v>14.16666667</v>
      </c>
    </row>
    <row r="24">
      <c r="A24" s="48" t="s">
        <v>47</v>
      </c>
      <c r="B24" s="39">
        <v>3.0</v>
      </c>
      <c r="C24" s="40">
        <f t="shared" si="3"/>
        <v>0.1</v>
      </c>
      <c r="D24" s="41">
        <v>85.0</v>
      </c>
      <c r="E24" s="42">
        <f>D24*$C$24</f>
        <v>8.5</v>
      </c>
      <c r="F24" s="41">
        <v>90.0</v>
      </c>
      <c r="G24" s="42">
        <f>F24*$C$24</f>
        <v>9</v>
      </c>
      <c r="H24" s="41">
        <v>85.0</v>
      </c>
      <c r="I24" s="42">
        <f>H24*$C$24</f>
        <v>8.5</v>
      </c>
    </row>
    <row r="25">
      <c r="A25" s="38" t="s">
        <v>48</v>
      </c>
      <c r="B25" s="39">
        <v>3.0</v>
      </c>
      <c r="C25" s="40">
        <f t="shared" si="3"/>
        <v>0.1</v>
      </c>
      <c r="D25" s="41">
        <v>95.0</v>
      </c>
      <c r="E25" s="42">
        <f>D25*$C$25</f>
        <v>9.5</v>
      </c>
      <c r="F25" s="41">
        <v>70.0</v>
      </c>
      <c r="G25" s="42">
        <f>F25*$C$25</f>
        <v>7</v>
      </c>
      <c r="H25" s="41">
        <v>80.0</v>
      </c>
      <c r="I25" s="42">
        <f>H25*$C$25</f>
        <v>8</v>
      </c>
    </row>
    <row r="26">
      <c r="A26" s="38" t="s">
        <v>49</v>
      </c>
      <c r="B26" s="39">
        <v>4.0</v>
      </c>
      <c r="C26" s="40">
        <f t="shared" si="3"/>
        <v>0.1333333333</v>
      </c>
      <c r="D26" s="41">
        <v>90.0</v>
      </c>
      <c r="E26" s="42">
        <f>D26*$C$26</f>
        <v>12</v>
      </c>
      <c r="F26" s="41">
        <v>60.0</v>
      </c>
      <c r="G26" s="42">
        <f>F26*$C$26</f>
        <v>8</v>
      </c>
      <c r="H26" s="41">
        <v>95.0</v>
      </c>
      <c r="I26" s="42">
        <f>H26*$C$26</f>
        <v>12.66666667</v>
      </c>
    </row>
    <row r="27">
      <c r="A27" s="38" t="s">
        <v>50</v>
      </c>
      <c r="B27" s="39">
        <v>2.0</v>
      </c>
      <c r="C27" s="40">
        <f t="shared" si="3"/>
        <v>0.06666666667</v>
      </c>
      <c r="D27" s="41">
        <v>80.0</v>
      </c>
      <c r="E27" s="42">
        <f>D27*$C$27</f>
        <v>5.333333333</v>
      </c>
      <c r="F27" s="41">
        <v>85.0</v>
      </c>
      <c r="G27" s="42">
        <f>F27*$C$27</f>
        <v>5.666666667</v>
      </c>
      <c r="H27" s="41">
        <v>90.0</v>
      </c>
      <c r="I27" s="42">
        <f>H27*$C$27</f>
        <v>6</v>
      </c>
    </row>
    <row r="28">
      <c r="A28" s="38" t="s">
        <v>51</v>
      </c>
      <c r="B28" s="39">
        <v>2.0</v>
      </c>
      <c r="C28" s="40">
        <f t="shared" si="3"/>
        <v>0.06666666667</v>
      </c>
      <c r="D28" s="41">
        <v>75.0</v>
      </c>
      <c r="E28" s="42">
        <f>D28*$C$28</f>
        <v>5</v>
      </c>
      <c r="F28" s="41">
        <v>90.0</v>
      </c>
      <c r="G28" s="42">
        <f>F28*$C$28</f>
        <v>6</v>
      </c>
      <c r="H28" s="41">
        <v>85.0</v>
      </c>
      <c r="I28" s="42">
        <f>H28*$C$28</f>
        <v>5.666666667</v>
      </c>
    </row>
    <row r="29">
      <c r="A29" s="38" t="s">
        <v>52</v>
      </c>
      <c r="B29" s="39">
        <v>4.0</v>
      </c>
      <c r="C29" s="40">
        <f t="shared" si="3"/>
        <v>0.1333333333</v>
      </c>
      <c r="D29" s="41">
        <v>85.0</v>
      </c>
      <c r="E29" s="42">
        <f>D29*$C$29</f>
        <v>11.33333333</v>
      </c>
      <c r="F29" s="41">
        <v>60.0</v>
      </c>
      <c r="G29" s="42">
        <f>F29*$C$29</f>
        <v>8</v>
      </c>
      <c r="H29" s="41">
        <v>70.0</v>
      </c>
      <c r="I29" s="42">
        <f>H29*$C$29</f>
        <v>9.333333333</v>
      </c>
    </row>
    <row r="30">
      <c r="A30" s="38" t="s">
        <v>53</v>
      </c>
      <c r="B30" s="39">
        <v>3.0</v>
      </c>
      <c r="C30" s="40">
        <f t="shared" si="3"/>
        <v>0.1</v>
      </c>
      <c r="D30" s="41">
        <v>85.0</v>
      </c>
      <c r="E30" s="42">
        <f>D30*$C$30</f>
        <v>8.5</v>
      </c>
      <c r="F30" s="41">
        <v>75.0</v>
      </c>
      <c r="G30" s="42">
        <f>F30*$C$30</f>
        <v>7.5</v>
      </c>
      <c r="H30" s="41">
        <v>80.0</v>
      </c>
      <c r="I30" s="42">
        <f>H30*$C$30</f>
        <v>8</v>
      </c>
    </row>
    <row r="31">
      <c r="A31" s="38" t="s">
        <v>54</v>
      </c>
      <c r="B31" s="39">
        <v>4.0</v>
      </c>
      <c r="C31" s="40">
        <f t="shared" si="3"/>
        <v>0.1333333333</v>
      </c>
      <c r="D31" s="41">
        <v>90.0</v>
      </c>
      <c r="E31" s="42">
        <f>D31*$C$31</f>
        <v>12</v>
      </c>
      <c r="F31" s="41">
        <v>85.0</v>
      </c>
      <c r="G31" s="42">
        <f>F31*$C$31</f>
        <v>11.33333333</v>
      </c>
      <c r="H31" s="41">
        <v>85.0</v>
      </c>
      <c r="I31" s="42">
        <f>H31*$C$31</f>
        <v>11.33333333</v>
      </c>
    </row>
    <row r="32">
      <c r="A32" s="43" t="s">
        <v>18</v>
      </c>
      <c r="B32" s="44">
        <f t="shared" ref="B32:C32" si="4">SUM(B23:B31)</f>
        <v>30</v>
      </c>
      <c r="C32" s="45">
        <f t="shared" si="4"/>
        <v>1</v>
      </c>
      <c r="D32" s="47">
        <f>SUM(E23:E31)/100</f>
        <v>0.855</v>
      </c>
      <c r="E32" s="33"/>
      <c r="F32" s="46">
        <f>SUM(G23:G31)/100</f>
        <v>0.775</v>
      </c>
      <c r="G32" s="33"/>
      <c r="H32" s="49">
        <f>SUM(I23:I31)/100</f>
        <v>0.8366666667</v>
      </c>
      <c r="I32" s="33"/>
    </row>
    <row r="33" ht="34.5" customHeight="1">
      <c r="A33" s="30">
        <v>3.0</v>
      </c>
      <c r="B33" s="31" t="s">
        <v>55</v>
      </c>
      <c r="C33" s="3"/>
      <c r="D33" s="31" t="s">
        <v>56</v>
      </c>
      <c r="E33" s="3"/>
      <c r="F33" s="31" t="s">
        <v>57</v>
      </c>
      <c r="G33" s="3"/>
      <c r="H33" s="31" t="s">
        <v>58</v>
      </c>
      <c r="I33" s="3"/>
    </row>
    <row r="34">
      <c r="A34" s="38" t="s">
        <v>59</v>
      </c>
      <c r="B34" s="39">
        <v>5.0</v>
      </c>
      <c r="C34" s="40">
        <f t="shared" ref="C34:C41" si="5">B34/$B$43</f>
        <v>0.1666666667</v>
      </c>
      <c r="D34" s="41">
        <v>70.0</v>
      </c>
      <c r="E34" s="42">
        <f>D34*$C$34</f>
        <v>11.66666667</v>
      </c>
      <c r="F34" s="41">
        <v>95.0</v>
      </c>
      <c r="G34" s="42">
        <f>F34*$C$34</f>
        <v>15.83333333</v>
      </c>
      <c r="H34" s="41">
        <v>50.0</v>
      </c>
      <c r="I34" s="42">
        <f>H34*$C$34</f>
        <v>8.333333333</v>
      </c>
    </row>
    <row r="35">
      <c r="A35" s="38" t="s">
        <v>60</v>
      </c>
      <c r="B35" s="39">
        <v>5.0</v>
      </c>
      <c r="C35" s="40">
        <f t="shared" si="5"/>
        <v>0.1666666667</v>
      </c>
      <c r="D35" s="41">
        <v>70.0</v>
      </c>
      <c r="E35" s="42">
        <f>D35*$C$35</f>
        <v>11.66666667</v>
      </c>
      <c r="F35" s="41">
        <v>90.0</v>
      </c>
      <c r="G35" s="42">
        <f>F35*$C$35</f>
        <v>15</v>
      </c>
      <c r="H35" s="41">
        <v>85.0</v>
      </c>
      <c r="I35" s="42">
        <f>H35*$C$35</f>
        <v>14.16666667</v>
      </c>
    </row>
    <row r="36">
      <c r="A36" s="38" t="s">
        <v>61</v>
      </c>
      <c r="B36" s="39">
        <v>4.0</v>
      </c>
      <c r="C36" s="40">
        <f t="shared" si="5"/>
        <v>0.1333333333</v>
      </c>
      <c r="D36" s="41">
        <v>60.0</v>
      </c>
      <c r="E36" s="42">
        <f>D36*$C$36</f>
        <v>8</v>
      </c>
      <c r="F36" s="41">
        <v>90.0</v>
      </c>
      <c r="G36" s="42">
        <f>F36*$C$36</f>
        <v>12</v>
      </c>
      <c r="H36" s="41">
        <v>80.0</v>
      </c>
      <c r="I36" s="42">
        <f>H36*$C$36</f>
        <v>10.66666667</v>
      </c>
    </row>
    <row r="37">
      <c r="A37" s="50" t="s">
        <v>36</v>
      </c>
      <c r="B37" s="39">
        <v>3.0</v>
      </c>
      <c r="C37" s="40">
        <f t="shared" si="5"/>
        <v>0.1</v>
      </c>
      <c r="D37" s="41">
        <v>75.0</v>
      </c>
      <c r="E37" s="42">
        <f>D37*$C$37</f>
        <v>7.5</v>
      </c>
      <c r="F37" s="41">
        <v>80.0</v>
      </c>
      <c r="G37" s="42">
        <f>F37*$C$37</f>
        <v>8</v>
      </c>
      <c r="H37" s="41">
        <v>90.0</v>
      </c>
      <c r="I37" s="42">
        <f>H37*$C$37</f>
        <v>9</v>
      </c>
    </row>
    <row r="38">
      <c r="A38" s="38" t="s">
        <v>62</v>
      </c>
      <c r="B38" s="39">
        <v>2.0</v>
      </c>
      <c r="C38" s="40">
        <f t="shared" si="5"/>
        <v>0.06666666667</v>
      </c>
      <c r="D38" s="41">
        <v>85.0</v>
      </c>
      <c r="E38" s="42">
        <f>D38*$C$38</f>
        <v>5.666666667</v>
      </c>
      <c r="F38" s="41">
        <v>70.0</v>
      </c>
      <c r="G38" s="42">
        <f>F38*$C$38</f>
        <v>4.666666667</v>
      </c>
      <c r="H38" s="41">
        <v>90.0</v>
      </c>
      <c r="I38" s="42">
        <f>H38*$C$38</f>
        <v>6</v>
      </c>
    </row>
    <row r="39">
      <c r="A39" s="38" t="s">
        <v>63</v>
      </c>
      <c r="B39" s="39">
        <v>4.0</v>
      </c>
      <c r="C39" s="40">
        <f t="shared" si="5"/>
        <v>0.1333333333</v>
      </c>
      <c r="D39" s="41">
        <v>90.0</v>
      </c>
      <c r="E39" s="42">
        <f>D39*$C$39</f>
        <v>12</v>
      </c>
      <c r="F39" s="41">
        <v>80.0</v>
      </c>
      <c r="G39" s="42">
        <f>F39*$C$39</f>
        <v>10.66666667</v>
      </c>
      <c r="H39" s="41">
        <v>75.0</v>
      </c>
      <c r="I39" s="42">
        <f>H39*$C$39</f>
        <v>10</v>
      </c>
    </row>
    <row r="40">
      <c r="A40" s="38" t="s">
        <v>33</v>
      </c>
      <c r="B40" s="39">
        <v>3.0</v>
      </c>
      <c r="C40" s="40">
        <f t="shared" si="5"/>
        <v>0.1</v>
      </c>
      <c r="D40" s="41">
        <v>96.0</v>
      </c>
      <c r="E40" s="42">
        <f>D40*$C$40</f>
        <v>9.6</v>
      </c>
      <c r="F40" s="41">
        <v>70.0</v>
      </c>
      <c r="G40" s="42">
        <f>F40*$C$40</f>
        <v>7</v>
      </c>
      <c r="H40" s="41">
        <v>90.0</v>
      </c>
      <c r="I40" s="42">
        <f>H40*$C$40</f>
        <v>9</v>
      </c>
    </row>
    <row r="41">
      <c r="A41" s="38" t="s">
        <v>64</v>
      </c>
      <c r="B41" s="39">
        <v>4.0</v>
      </c>
      <c r="C41" s="40">
        <f t="shared" si="5"/>
        <v>0.1333333333</v>
      </c>
      <c r="D41" s="41">
        <v>60.0</v>
      </c>
      <c r="E41" s="42">
        <f>D41*$C$41</f>
        <v>8</v>
      </c>
      <c r="F41" s="41">
        <v>95.0</v>
      </c>
      <c r="G41" s="42">
        <f t="shared" ref="G41:G42" si="6">F41*$C$41</f>
        <v>12.66666667</v>
      </c>
      <c r="H41" s="41">
        <v>40.0</v>
      </c>
      <c r="I41" s="42">
        <f t="shared" ref="I41:I42" si="7">H41*$C$41</f>
        <v>5.333333333</v>
      </c>
    </row>
    <row r="42">
      <c r="A42" s="38" t="s">
        <v>65</v>
      </c>
      <c r="B42" s="51">
        <v>3.0</v>
      </c>
      <c r="C42" s="52">
        <f>B40/$B$43</f>
        <v>0.1</v>
      </c>
      <c r="D42" s="53">
        <v>70.0</v>
      </c>
      <c r="E42" s="54">
        <f>D41*$C$41</f>
        <v>8</v>
      </c>
      <c r="F42" s="53">
        <v>80.0</v>
      </c>
      <c r="G42" s="54">
        <f t="shared" si="6"/>
        <v>10.66666667</v>
      </c>
      <c r="H42" s="53">
        <v>85.0</v>
      </c>
      <c r="I42" s="54">
        <f t="shared" si="7"/>
        <v>11.33333333</v>
      </c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</row>
    <row r="43">
      <c r="A43" s="43" t="s">
        <v>18</v>
      </c>
      <c r="B43" s="44">
        <f t="shared" ref="B43:C43" si="8">SUM(B34:B41)</f>
        <v>30</v>
      </c>
      <c r="C43" s="45">
        <f t="shared" si="8"/>
        <v>1</v>
      </c>
      <c r="D43" s="49">
        <f>SUM(E34:E41)/100</f>
        <v>0.741</v>
      </c>
      <c r="E43" s="33"/>
      <c r="F43" s="47">
        <f>SUM(G34:G41)/100</f>
        <v>0.8583333333</v>
      </c>
      <c r="G43" s="33"/>
      <c r="H43" s="46">
        <f>SUM(I34:I41)/100</f>
        <v>0.725</v>
      </c>
      <c r="I43" s="33"/>
    </row>
    <row r="44">
      <c r="A44" s="30">
        <v>4.0</v>
      </c>
      <c r="B44" s="31" t="s">
        <v>66</v>
      </c>
      <c r="C44" s="3"/>
      <c r="D44" s="31" t="s">
        <v>162</v>
      </c>
      <c r="E44" s="3"/>
      <c r="F44" s="31" t="s">
        <v>68</v>
      </c>
      <c r="G44" s="3"/>
      <c r="H44" s="31" t="s">
        <v>69</v>
      </c>
      <c r="I44" s="3"/>
    </row>
    <row r="45">
      <c r="A45" s="38" t="s">
        <v>70</v>
      </c>
      <c r="B45" s="39">
        <v>4.0</v>
      </c>
      <c r="C45" s="40">
        <f t="shared" ref="C45:C53" si="9">B45/$B$54</f>
        <v>0.16</v>
      </c>
      <c r="D45" s="41">
        <v>85.0</v>
      </c>
      <c r="E45" s="42">
        <f>D45*$C$45</f>
        <v>13.6</v>
      </c>
      <c r="F45" s="41">
        <v>90.0</v>
      </c>
      <c r="G45" s="42">
        <f>F45*$C$45</f>
        <v>14.4</v>
      </c>
      <c r="H45" s="41">
        <v>75.0</v>
      </c>
      <c r="I45" s="42">
        <f>H45*$C$45</f>
        <v>12</v>
      </c>
    </row>
    <row r="46">
      <c r="A46" s="38" t="s">
        <v>34</v>
      </c>
      <c r="B46" s="39">
        <v>3.0</v>
      </c>
      <c r="C46" s="40">
        <f t="shared" si="9"/>
        <v>0.12</v>
      </c>
      <c r="D46" s="41">
        <v>80.0</v>
      </c>
      <c r="E46" s="42">
        <f>D46*$C$46</f>
        <v>9.6</v>
      </c>
      <c r="F46" s="41">
        <v>85.0</v>
      </c>
      <c r="G46" s="42">
        <f>F46*$C$46</f>
        <v>10.2</v>
      </c>
      <c r="H46" s="41">
        <v>65.0</v>
      </c>
      <c r="I46" s="42">
        <f>H46*$C$46</f>
        <v>7.8</v>
      </c>
    </row>
    <row r="47">
      <c r="A47" s="38" t="s">
        <v>71</v>
      </c>
      <c r="B47" s="39">
        <v>4.0</v>
      </c>
      <c r="C47" s="40">
        <f t="shared" si="9"/>
        <v>0.16</v>
      </c>
      <c r="D47" s="41">
        <v>80.0</v>
      </c>
      <c r="E47" s="42">
        <f>D47*$C$47</f>
        <v>12.8</v>
      </c>
      <c r="F47" s="41">
        <v>90.0</v>
      </c>
      <c r="G47" s="42">
        <f>F47*$C$47</f>
        <v>14.4</v>
      </c>
      <c r="H47" s="41">
        <v>95.0</v>
      </c>
      <c r="I47" s="42">
        <f>H47*$C$47</f>
        <v>15.2</v>
      </c>
    </row>
    <row r="48">
      <c r="A48" s="56" t="s">
        <v>72</v>
      </c>
      <c r="B48" s="39">
        <v>3.0</v>
      </c>
      <c r="C48" s="40">
        <f t="shared" si="9"/>
        <v>0.12</v>
      </c>
      <c r="D48" s="41">
        <v>90.0</v>
      </c>
      <c r="E48" s="42">
        <f>D48*$C$48</f>
        <v>10.8</v>
      </c>
      <c r="F48" s="41">
        <v>80.0</v>
      </c>
      <c r="G48" s="42">
        <f>F48*$C$48</f>
        <v>9.6</v>
      </c>
      <c r="H48" s="41">
        <v>60.0</v>
      </c>
      <c r="I48" s="42">
        <f>H48*$C$48</f>
        <v>7.2</v>
      </c>
    </row>
    <row r="49">
      <c r="A49" s="38" t="s">
        <v>33</v>
      </c>
      <c r="B49" s="39">
        <v>3.0</v>
      </c>
      <c r="C49" s="40">
        <f t="shared" si="9"/>
        <v>0.12</v>
      </c>
      <c r="D49" s="41">
        <v>95.0</v>
      </c>
      <c r="E49" s="42">
        <f>D49*$C$49</f>
        <v>11.4</v>
      </c>
      <c r="F49" s="41">
        <v>70.0</v>
      </c>
      <c r="G49" s="42">
        <f>F49*$C$49</f>
        <v>8.4</v>
      </c>
      <c r="H49" s="41">
        <v>60.0</v>
      </c>
      <c r="I49" s="42">
        <f>H49*$C$49</f>
        <v>7.2</v>
      </c>
    </row>
    <row r="50">
      <c r="A50" s="38" t="s">
        <v>73</v>
      </c>
      <c r="B50" s="39">
        <v>2.0</v>
      </c>
      <c r="C50" s="40">
        <f t="shared" si="9"/>
        <v>0.08</v>
      </c>
      <c r="D50" s="41">
        <v>85.0</v>
      </c>
      <c r="E50" s="42">
        <f>D50*$C$50</f>
        <v>6.8</v>
      </c>
      <c r="F50" s="41">
        <v>75.0</v>
      </c>
      <c r="G50" s="42">
        <f>F50*$C$50</f>
        <v>6</v>
      </c>
      <c r="H50" s="41">
        <v>70.0</v>
      </c>
      <c r="I50" s="42">
        <f>H50*$C$50</f>
        <v>5.6</v>
      </c>
    </row>
    <row r="51">
      <c r="A51" s="38" t="s">
        <v>74</v>
      </c>
      <c r="B51" s="39">
        <v>3.0</v>
      </c>
      <c r="C51" s="40">
        <f t="shared" si="9"/>
        <v>0.12</v>
      </c>
      <c r="D51" s="41">
        <v>90.0</v>
      </c>
      <c r="E51" s="42">
        <f>D51*$C$51</f>
        <v>10.8</v>
      </c>
      <c r="F51" s="41">
        <v>80.0</v>
      </c>
      <c r="G51" s="42">
        <f>F51*$C$51</f>
        <v>9.6</v>
      </c>
      <c r="H51" s="41">
        <v>65.0</v>
      </c>
      <c r="I51" s="42">
        <f>H51*$C$51</f>
        <v>7.8</v>
      </c>
    </row>
    <row r="52">
      <c r="A52" s="56" t="s">
        <v>75</v>
      </c>
      <c r="B52" s="39">
        <v>3.0</v>
      </c>
      <c r="C52" s="40">
        <f t="shared" si="9"/>
        <v>0.12</v>
      </c>
      <c r="D52" s="41">
        <v>85.0</v>
      </c>
      <c r="E52" s="42">
        <f t="shared" ref="E52:E53" si="10">D52*$C$52</f>
        <v>10.2</v>
      </c>
      <c r="F52" s="41">
        <v>90.0</v>
      </c>
      <c r="G52" s="42">
        <f t="shared" ref="G52:G53" si="11">F52*$C$52</f>
        <v>10.8</v>
      </c>
      <c r="H52" s="41">
        <v>70.0</v>
      </c>
      <c r="I52" s="42">
        <f t="shared" ref="I52:I53" si="12">H52*$C$52</f>
        <v>8.4</v>
      </c>
    </row>
    <row r="53">
      <c r="A53" s="56" t="s">
        <v>76</v>
      </c>
      <c r="B53" s="39">
        <v>3.0</v>
      </c>
      <c r="C53" s="40">
        <f t="shared" si="9"/>
        <v>0.12</v>
      </c>
      <c r="D53" s="41">
        <v>90.0</v>
      </c>
      <c r="E53" s="42">
        <f t="shared" si="10"/>
        <v>10.8</v>
      </c>
      <c r="F53" s="41">
        <v>85.0</v>
      </c>
      <c r="G53" s="42">
        <f t="shared" si="11"/>
        <v>10.2</v>
      </c>
      <c r="H53" s="41">
        <v>60.0</v>
      </c>
      <c r="I53" s="42">
        <f t="shared" si="12"/>
        <v>7.2</v>
      </c>
    </row>
    <row r="54">
      <c r="A54" s="43" t="s">
        <v>18</v>
      </c>
      <c r="B54" s="44">
        <f t="shared" ref="B54:C54" si="13">SUM(B45:B52)</f>
        <v>25</v>
      </c>
      <c r="C54" s="45">
        <f t="shared" si="13"/>
        <v>1</v>
      </c>
      <c r="D54" s="57">
        <f>SUM(E45:E52)/100</f>
        <v>0.86</v>
      </c>
      <c r="E54" s="33"/>
      <c r="F54" s="49">
        <f>SUM(G45:G52)/100</f>
        <v>0.834</v>
      </c>
      <c r="G54" s="33"/>
      <c r="H54" s="46">
        <f>SUM(I45:I52)/100</f>
        <v>0.712</v>
      </c>
      <c r="I54" s="33"/>
    </row>
    <row r="55">
      <c r="A55" s="30">
        <v>5.0</v>
      </c>
      <c r="B55" s="31" t="s">
        <v>77</v>
      </c>
      <c r="C55" s="3"/>
      <c r="D55" s="31" t="s">
        <v>78</v>
      </c>
      <c r="E55" s="3"/>
      <c r="F55" s="31" t="s">
        <v>79</v>
      </c>
      <c r="G55" s="3"/>
      <c r="H55" s="31" t="s">
        <v>80</v>
      </c>
      <c r="I55" s="3"/>
    </row>
    <row r="56">
      <c r="A56" s="38" t="s">
        <v>81</v>
      </c>
      <c r="B56" s="39">
        <v>5.0</v>
      </c>
      <c r="C56" s="40">
        <f t="shared" ref="C56:C62" si="14">B56/$B$63</f>
        <v>0.2</v>
      </c>
      <c r="D56" s="41">
        <v>60.0</v>
      </c>
      <c r="E56" s="42">
        <f>D56*$C$56</f>
        <v>12</v>
      </c>
      <c r="F56" s="41">
        <v>95.0</v>
      </c>
      <c r="G56" s="42">
        <f>F56*$C$56</f>
        <v>19</v>
      </c>
      <c r="H56" s="41">
        <v>85.0</v>
      </c>
      <c r="I56" s="42">
        <f>H56*$C$56</f>
        <v>17</v>
      </c>
    </row>
    <row r="57">
      <c r="A57" s="38" t="s">
        <v>82</v>
      </c>
      <c r="B57" s="39">
        <v>5.0</v>
      </c>
      <c r="C57" s="40">
        <f t="shared" si="14"/>
        <v>0.2</v>
      </c>
      <c r="D57" s="41">
        <v>90.0</v>
      </c>
      <c r="E57" s="42">
        <f>D57*$C$57</f>
        <v>18</v>
      </c>
      <c r="F57" s="41">
        <v>60.0</v>
      </c>
      <c r="G57" s="42">
        <f>F57*$C$57</f>
        <v>12</v>
      </c>
      <c r="H57" s="41">
        <v>75.0</v>
      </c>
      <c r="I57" s="42">
        <f>H57*$C$57</f>
        <v>15</v>
      </c>
    </row>
    <row r="58">
      <c r="A58" s="38" t="s">
        <v>83</v>
      </c>
      <c r="B58" s="39">
        <v>3.0</v>
      </c>
      <c r="C58" s="40">
        <f t="shared" si="14"/>
        <v>0.12</v>
      </c>
      <c r="D58" s="41">
        <v>85.0</v>
      </c>
      <c r="E58" s="42">
        <f>D58*$C$58</f>
        <v>10.2</v>
      </c>
      <c r="F58" s="41">
        <v>60.0</v>
      </c>
      <c r="G58" s="42">
        <f>F58*$C$58</f>
        <v>7.2</v>
      </c>
      <c r="H58" s="41">
        <v>70.0</v>
      </c>
      <c r="I58" s="42">
        <f>H58*$C$58</f>
        <v>8.4</v>
      </c>
    </row>
    <row r="59">
      <c r="A59" s="38" t="s">
        <v>46</v>
      </c>
      <c r="B59" s="39">
        <v>4.0</v>
      </c>
      <c r="C59" s="40">
        <f t="shared" si="14"/>
        <v>0.16</v>
      </c>
      <c r="D59" s="41">
        <v>80.0</v>
      </c>
      <c r="E59" s="42">
        <f>D59*$C$59</f>
        <v>12.8</v>
      </c>
      <c r="F59" s="41">
        <v>90.0</v>
      </c>
      <c r="G59" s="42">
        <f>F59*$C$59</f>
        <v>14.4</v>
      </c>
      <c r="H59" s="41">
        <v>85.0</v>
      </c>
      <c r="I59" s="42">
        <f>H59*$C$59</f>
        <v>13.6</v>
      </c>
    </row>
    <row r="60">
      <c r="A60" s="38" t="s">
        <v>51</v>
      </c>
      <c r="B60" s="39">
        <v>3.0</v>
      </c>
      <c r="C60" s="40">
        <f t="shared" si="14"/>
        <v>0.12</v>
      </c>
      <c r="D60" s="41">
        <v>95.0</v>
      </c>
      <c r="E60" s="42">
        <f>D60*$C$60</f>
        <v>11.4</v>
      </c>
      <c r="F60" s="41">
        <v>40.0</v>
      </c>
      <c r="G60" s="42">
        <f>F60*$C$60</f>
        <v>4.8</v>
      </c>
      <c r="H60" s="41">
        <v>85.0</v>
      </c>
      <c r="I60" s="42">
        <f>H60*$C$60</f>
        <v>10.2</v>
      </c>
    </row>
    <row r="61">
      <c r="A61" s="38" t="s">
        <v>84</v>
      </c>
      <c r="B61" s="39">
        <v>2.0</v>
      </c>
      <c r="C61" s="40">
        <f t="shared" si="14"/>
        <v>0.08</v>
      </c>
      <c r="D61" s="41">
        <v>70.0</v>
      </c>
      <c r="E61" s="42">
        <f>D61*$C$61</f>
        <v>5.6</v>
      </c>
      <c r="F61" s="41">
        <v>95.0</v>
      </c>
      <c r="G61" s="42">
        <f>F61*$C$61</f>
        <v>7.6</v>
      </c>
      <c r="H61" s="41">
        <v>90.0</v>
      </c>
      <c r="I61" s="42">
        <f>H61*$C$61</f>
        <v>7.2</v>
      </c>
    </row>
    <row r="62">
      <c r="A62" s="38" t="s">
        <v>54</v>
      </c>
      <c r="B62" s="39">
        <v>3.0</v>
      </c>
      <c r="C62" s="40">
        <f t="shared" si="14"/>
        <v>0.12</v>
      </c>
      <c r="D62" s="41">
        <v>90.0</v>
      </c>
      <c r="E62" s="42">
        <f>D62*$C$62</f>
        <v>10.8</v>
      </c>
      <c r="F62" s="41">
        <v>80.0</v>
      </c>
      <c r="G62" s="42">
        <f>F62*$C$62</f>
        <v>9.6</v>
      </c>
      <c r="H62" s="41">
        <v>90.0</v>
      </c>
      <c r="I62" s="42">
        <f>H62*$C$62</f>
        <v>10.8</v>
      </c>
    </row>
    <row r="63">
      <c r="A63" s="43" t="s">
        <v>18</v>
      </c>
      <c r="B63" s="44">
        <f t="shared" ref="B63:C63" si="15">SUM(B56:B62)</f>
        <v>25</v>
      </c>
      <c r="C63" s="45">
        <f t="shared" si="15"/>
        <v>1</v>
      </c>
      <c r="D63" s="47">
        <f>SUM(E56:E62)/100</f>
        <v>0.808</v>
      </c>
      <c r="E63" s="33"/>
      <c r="F63" s="46">
        <f>SUM(G56:G62)/100</f>
        <v>0.746</v>
      </c>
      <c r="G63" s="33"/>
      <c r="H63" s="46">
        <f>SUM(I56:I62)/100</f>
        <v>0.822</v>
      </c>
      <c r="I63" s="33"/>
    </row>
    <row r="64">
      <c r="A64" s="30">
        <v>6.0</v>
      </c>
      <c r="B64" s="31" t="s">
        <v>85</v>
      </c>
      <c r="C64" s="3"/>
      <c r="D64" s="31" t="s">
        <v>86</v>
      </c>
      <c r="E64" s="3"/>
      <c r="F64" s="31" t="s">
        <v>87</v>
      </c>
      <c r="G64" s="3"/>
      <c r="H64" s="31" t="s">
        <v>88</v>
      </c>
      <c r="I64" s="3"/>
    </row>
    <row r="65">
      <c r="A65" s="38" t="s">
        <v>34</v>
      </c>
      <c r="B65" s="39">
        <v>5.0</v>
      </c>
      <c r="C65" s="40">
        <f t="shared" ref="C65:C72" si="16">B65/$B$73</f>
        <v>0.2</v>
      </c>
      <c r="D65" s="41">
        <v>90.0</v>
      </c>
      <c r="E65" s="42">
        <f>D65*$C$65</f>
        <v>18</v>
      </c>
      <c r="F65" s="41">
        <v>85.0</v>
      </c>
      <c r="G65" s="42">
        <f>F65*$C$65</f>
        <v>17</v>
      </c>
      <c r="H65" s="41">
        <v>80.0</v>
      </c>
      <c r="I65" s="42">
        <f>H65*$C$65</f>
        <v>16</v>
      </c>
    </row>
    <row r="66">
      <c r="A66" s="38" t="s">
        <v>89</v>
      </c>
      <c r="B66" s="39">
        <v>4.0</v>
      </c>
      <c r="C66" s="40">
        <f t="shared" si="16"/>
        <v>0.16</v>
      </c>
      <c r="D66" s="41">
        <v>90.0</v>
      </c>
      <c r="E66" s="42">
        <f>D66*$C$66</f>
        <v>14.4</v>
      </c>
      <c r="F66" s="41">
        <v>85.0</v>
      </c>
      <c r="G66" s="42">
        <f>F66*$C$66</f>
        <v>13.6</v>
      </c>
      <c r="H66" s="41">
        <v>70.0</v>
      </c>
      <c r="I66" s="42">
        <f>H66*$C$66</f>
        <v>11.2</v>
      </c>
    </row>
    <row r="67">
      <c r="A67" s="38" t="s">
        <v>90</v>
      </c>
      <c r="B67" s="39">
        <v>3.0</v>
      </c>
      <c r="C67" s="40">
        <f t="shared" si="16"/>
        <v>0.12</v>
      </c>
      <c r="D67" s="41">
        <v>95.0</v>
      </c>
      <c r="E67" s="42">
        <f>D67*$C$67</f>
        <v>11.4</v>
      </c>
      <c r="F67" s="41">
        <v>90.0</v>
      </c>
      <c r="G67" s="42">
        <f>F67*$C$67</f>
        <v>10.8</v>
      </c>
      <c r="H67" s="41">
        <v>60.0</v>
      </c>
      <c r="I67" s="42">
        <f>H67*$C$67</f>
        <v>7.2</v>
      </c>
    </row>
    <row r="68">
      <c r="A68" s="38" t="s">
        <v>91</v>
      </c>
      <c r="B68" s="39">
        <v>3.0</v>
      </c>
      <c r="C68" s="40">
        <f t="shared" si="16"/>
        <v>0.12</v>
      </c>
      <c r="D68" s="41">
        <v>85.0</v>
      </c>
      <c r="E68" s="42">
        <f>D68*$C$68</f>
        <v>10.2</v>
      </c>
      <c r="F68" s="41">
        <v>90.0</v>
      </c>
      <c r="G68" s="42">
        <f>F68*$C$68</f>
        <v>10.8</v>
      </c>
      <c r="H68" s="41">
        <v>75.0</v>
      </c>
      <c r="I68" s="42">
        <f>H68*$C$68</f>
        <v>9</v>
      </c>
    </row>
    <row r="69">
      <c r="A69" s="38" t="s">
        <v>92</v>
      </c>
      <c r="B69" s="39">
        <v>3.0</v>
      </c>
      <c r="C69" s="40">
        <f t="shared" si="16"/>
        <v>0.12</v>
      </c>
      <c r="D69" s="41">
        <v>80.0</v>
      </c>
      <c r="E69" s="42">
        <f>D69*$C$69</f>
        <v>9.6</v>
      </c>
      <c r="F69" s="41">
        <v>85.0</v>
      </c>
      <c r="G69" s="42">
        <f>F69*$C$69</f>
        <v>10.2</v>
      </c>
      <c r="H69" s="41">
        <v>95.0</v>
      </c>
      <c r="I69" s="42">
        <f>H69*$C$69</f>
        <v>11.4</v>
      </c>
    </row>
    <row r="70">
      <c r="A70" s="38" t="s">
        <v>93</v>
      </c>
      <c r="B70" s="39">
        <v>2.0</v>
      </c>
      <c r="C70" s="40">
        <f t="shared" si="16"/>
        <v>0.08</v>
      </c>
      <c r="D70" s="41">
        <v>75.0</v>
      </c>
      <c r="E70" s="42">
        <f>D70*$C$70</f>
        <v>6</v>
      </c>
      <c r="F70" s="41">
        <v>80.0</v>
      </c>
      <c r="G70" s="42">
        <f>F70*$C$70</f>
        <v>6.4</v>
      </c>
      <c r="H70" s="41">
        <v>90.0</v>
      </c>
      <c r="I70" s="42">
        <f>H70*$C$70</f>
        <v>7.2</v>
      </c>
    </row>
    <row r="71">
      <c r="A71" s="38" t="s">
        <v>33</v>
      </c>
      <c r="B71" s="39">
        <v>2.0</v>
      </c>
      <c r="C71" s="40">
        <f t="shared" si="16"/>
        <v>0.08</v>
      </c>
      <c r="D71" s="41">
        <v>90.0</v>
      </c>
      <c r="E71" s="42">
        <f t="shared" ref="E71:E72" si="17">D71*$C$71</f>
        <v>7.2</v>
      </c>
      <c r="F71" s="41">
        <v>85.0</v>
      </c>
      <c r="G71" s="42">
        <f t="shared" ref="G71:G72" si="18">F71*$C$71</f>
        <v>6.8</v>
      </c>
      <c r="H71" s="41">
        <v>80.0</v>
      </c>
      <c r="I71" s="42">
        <f t="shared" ref="I71:I72" si="19">H71*$C$71</f>
        <v>6.4</v>
      </c>
    </row>
    <row r="72">
      <c r="A72" s="38" t="s">
        <v>39</v>
      </c>
      <c r="B72" s="39">
        <v>3.0</v>
      </c>
      <c r="C72" s="40">
        <f t="shared" si="16"/>
        <v>0.12</v>
      </c>
      <c r="D72" s="41">
        <v>95.0</v>
      </c>
      <c r="E72" s="42">
        <f t="shared" si="17"/>
        <v>7.6</v>
      </c>
      <c r="F72" s="41">
        <v>85.0</v>
      </c>
      <c r="G72" s="42">
        <f t="shared" si="18"/>
        <v>6.8</v>
      </c>
      <c r="H72" s="41">
        <v>70.0</v>
      </c>
      <c r="I72" s="42">
        <f t="shared" si="19"/>
        <v>5.6</v>
      </c>
    </row>
    <row r="73">
      <c r="A73" s="43" t="s">
        <v>18</v>
      </c>
      <c r="B73" s="44">
        <f t="shared" ref="B73:C73" si="20">SUM(B65:B72)</f>
        <v>25</v>
      </c>
      <c r="C73" s="45">
        <f t="shared" si="20"/>
        <v>1</v>
      </c>
      <c r="D73" s="47">
        <f>SUM(E65:E72)/100</f>
        <v>0.844</v>
      </c>
      <c r="E73" s="33"/>
      <c r="F73" s="46">
        <f>SUM(G65:G72)/100</f>
        <v>0.824</v>
      </c>
      <c r="G73" s="33"/>
      <c r="H73" s="49">
        <f>SUM(I65:I72)/100</f>
        <v>0.74</v>
      </c>
      <c r="I73" s="33"/>
    </row>
    <row r="74">
      <c r="A74" s="30">
        <v>7.0</v>
      </c>
      <c r="B74" s="31" t="s">
        <v>94</v>
      </c>
      <c r="C74" s="3"/>
      <c r="D74" s="31" t="s">
        <v>95</v>
      </c>
      <c r="E74" s="3"/>
      <c r="F74" s="31" t="s">
        <v>186</v>
      </c>
      <c r="G74" s="3"/>
      <c r="H74" s="31" t="s">
        <v>97</v>
      </c>
      <c r="I74" s="3"/>
    </row>
    <row r="75">
      <c r="A75" s="38" t="s">
        <v>98</v>
      </c>
      <c r="B75" s="39">
        <v>5.0</v>
      </c>
      <c r="C75" s="40">
        <f t="shared" ref="C75:C82" si="21">B75/$B$83</f>
        <v>0.3571428571</v>
      </c>
      <c r="D75" s="41">
        <v>80.0</v>
      </c>
      <c r="E75" s="42">
        <f>D75*$C$75</f>
        <v>28.57142857</v>
      </c>
      <c r="F75" s="41">
        <v>90.0</v>
      </c>
      <c r="G75" s="42">
        <f>F75*$C$75</f>
        <v>32.14285714</v>
      </c>
      <c r="H75" s="41">
        <v>90.0</v>
      </c>
      <c r="I75" s="42">
        <f>H75*$C$75</f>
        <v>32.14285714</v>
      </c>
    </row>
    <row r="76">
      <c r="A76" s="38" t="s">
        <v>99</v>
      </c>
      <c r="B76" s="39">
        <v>4.0</v>
      </c>
      <c r="C76" s="40">
        <f t="shared" si="21"/>
        <v>0.2857142857</v>
      </c>
      <c r="D76" s="41">
        <v>95.0</v>
      </c>
      <c r="E76" s="42">
        <f>D76*$C$76</f>
        <v>27.14285714</v>
      </c>
      <c r="F76" s="41">
        <v>95.0</v>
      </c>
      <c r="G76" s="42">
        <f>F76*$C$76</f>
        <v>27.14285714</v>
      </c>
      <c r="H76" s="41">
        <v>70.0</v>
      </c>
      <c r="I76" s="42">
        <f>H76*$C$76</f>
        <v>20</v>
      </c>
    </row>
    <row r="77">
      <c r="A77" s="38" t="s">
        <v>100</v>
      </c>
      <c r="B77" s="39">
        <v>3.0</v>
      </c>
      <c r="C77" s="40">
        <f t="shared" si="21"/>
        <v>0.2142857143</v>
      </c>
      <c r="D77" s="41">
        <v>80.0</v>
      </c>
      <c r="E77" s="42">
        <f>D77*$C$77</f>
        <v>17.14285714</v>
      </c>
      <c r="F77" s="41">
        <v>90.0</v>
      </c>
      <c r="G77" s="42">
        <f>F77*$C$77</f>
        <v>19.28571429</v>
      </c>
      <c r="H77" s="41">
        <v>75.0</v>
      </c>
      <c r="I77" s="42">
        <f>H77*$C$77</f>
        <v>16.07142857</v>
      </c>
    </row>
    <row r="78">
      <c r="A78" s="38" t="s">
        <v>62</v>
      </c>
      <c r="B78" s="39">
        <v>2.0</v>
      </c>
      <c r="C78" s="40">
        <f t="shared" si="21"/>
        <v>0.1428571429</v>
      </c>
      <c r="D78" s="41">
        <v>80.0</v>
      </c>
      <c r="E78" s="42">
        <f>D78*$C$78</f>
        <v>11.42857143</v>
      </c>
      <c r="F78" s="41">
        <v>80.0</v>
      </c>
      <c r="G78" s="42">
        <f>F78*$C$78</f>
        <v>11.42857143</v>
      </c>
      <c r="H78" s="41">
        <v>90.0</v>
      </c>
      <c r="I78" s="42">
        <f>H78*$C$78</f>
        <v>12.85714286</v>
      </c>
    </row>
    <row r="79">
      <c r="A79" s="38" t="s">
        <v>187</v>
      </c>
      <c r="B79" s="39">
        <v>4.0</v>
      </c>
      <c r="C79" s="40">
        <f t="shared" si="21"/>
        <v>0.2857142857</v>
      </c>
      <c r="D79" s="41">
        <v>90.0</v>
      </c>
      <c r="E79" s="42">
        <f>D79*$C$79</f>
        <v>25.71428571</v>
      </c>
      <c r="F79" s="41">
        <v>90.0</v>
      </c>
      <c r="G79" s="42">
        <f>F79*$C$79</f>
        <v>25.71428571</v>
      </c>
      <c r="H79" s="41">
        <v>85.0</v>
      </c>
      <c r="I79" s="42">
        <f>H79*$C$79</f>
        <v>24.28571429</v>
      </c>
    </row>
    <row r="80">
      <c r="A80" s="38" t="s">
        <v>101</v>
      </c>
      <c r="B80" s="39">
        <v>4.0</v>
      </c>
      <c r="C80" s="40">
        <f t="shared" si="21"/>
        <v>0.2857142857</v>
      </c>
      <c r="D80" s="41">
        <v>85.0</v>
      </c>
      <c r="E80" s="42">
        <f>D80*$C$80</f>
        <v>24.28571429</v>
      </c>
      <c r="F80" s="41">
        <v>85.0</v>
      </c>
      <c r="G80" s="42">
        <f>F80*$C$80</f>
        <v>24.28571429</v>
      </c>
      <c r="H80" s="41">
        <v>90.0</v>
      </c>
      <c r="I80" s="42">
        <f>H80*$C$80</f>
        <v>25.71428571</v>
      </c>
    </row>
    <row r="81">
      <c r="A81" s="38" t="s">
        <v>39</v>
      </c>
      <c r="B81" s="39">
        <v>3.0</v>
      </c>
      <c r="C81" s="40">
        <f t="shared" si="21"/>
        <v>0.2142857143</v>
      </c>
      <c r="D81" s="41">
        <v>85.0</v>
      </c>
      <c r="E81" s="42">
        <f>D81*$C$81</f>
        <v>18.21428571</v>
      </c>
      <c r="F81" s="41">
        <v>95.0</v>
      </c>
      <c r="G81" s="42">
        <f>F81*$C$81</f>
        <v>20.35714286</v>
      </c>
      <c r="H81" s="41">
        <v>80.0</v>
      </c>
      <c r="I81" s="42">
        <f>H81*$C$81</f>
        <v>17.14285714</v>
      </c>
    </row>
    <row r="82">
      <c r="A82" s="38" t="s">
        <v>103</v>
      </c>
      <c r="B82" s="39">
        <v>3.0</v>
      </c>
      <c r="C82" s="40">
        <f t="shared" si="21"/>
        <v>0.2142857143</v>
      </c>
      <c r="D82" s="41">
        <v>85.0</v>
      </c>
      <c r="E82" s="42">
        <f>D82*$C$82</f>
        <v>18.21428571</v>
      </c>
      <c r="F82" s="41">
        <v>85.0</v>
      </c>
      <c r="G82" s="42">
        <f>F82*$C$82</f>
        <v>18.21428571</v>
      </c>
      <c r="H82" s="41">
        <v>70.0</v>
      </c>
      <c r="I82" s="42">
        <f>H82*$C$82</f>
        <v>15</v>
      </c>
    </row>
    <row r="83">
      <c r="A83" s="43" t="s">
        <v>18</v>
      </c>
      <c r="B83" s="44">
        <f t="shared" ref="B83:C83" si="22">SUM(B75:B78)</f>
        <v>14</v>
      </c>
      <c r="C83" s="45">
        <f t="shared" si="22"/>
        <v>1</v>
      </c>
      <c r="D83" s="49">
        <f>SUM(E75:E78)/100</f>
        <v>0.8428571429</v>
      </c>
      <c r="E83" s="33"/>
      <c r="F83" s="47">
        <f>SUM(G75:G78)/100</f>
        <v>0.9</v>
      </c>
      <c r="G83" s="33"/>
      <c r="H83" s="46">
        <f>SUM(I75:I78)/100</f>
        <v>0.8107142857</v>
      </c>
      <c r="I83" s="33"/>
    </row>
    <row r="84">
      <c r="A84" s="30">
        <v>8.0</v>
      </c>
      <c r="B84" s="31" t="s">
        <v>104</v>
      </c>
      <c r="C84" s="3"/>
      <c r="D84" s="31" t="s">
        <v>105</v>
      </c>
      <c r="E84" s="3"/>
      <c r="F84" s="31" t="s">
        <v>106</v>
      </c>
      <c r="G84" s="3"/>
      <c r="H84" s="31" t="s">
        <v>107</v>
      </c>
      <c r="I84" s="3"/>
    </row>
    <row r="85">
      <c r="A85" s="38" t="s">
        <v>108</v>
      </c>
      <c r="B85" s="39">
        <v>4.0</v>
      </c>
      <c r="C85" s="40">
        <f t="shared" ref="C85:C95" si="23">B85/$B$96</f>
        <v>0.1333333333</v>
      </c>
      <c r="D85" s="41">
        <v>85.0</v>
      </c>
      <c r="E85" s="42">
        <f>D85*$C$85</f>
        <v>11.33333333</v>
      </c>
      <c r="F85" s="41">
        <v>60.0</v>
      </c>
      <c r="G85" s="42">
        <f>F85*$C$85</f>
        <v>8</v>
      </c>
      <c r="H85" s="41">
        <v>95.0</v>
      </c>
      <c r="I85" s="42">
        <f>H85*$C$85</f>
        <v>12.66666667</v>
      </c>
    </row>
    <row r="86">
      <c r="A86" s="38" t="s">
        <v>109</v>
      </c>
      <c r="B86" s="39">
        <v>4.0</v>
      </c>
      <c r="C86" s="40">
        <f t="shared" si="23"/>
        <v>0.1333333333</v>
      </c>
      <c r="D86" s="41">
        <v>80.0</v>
      </c>
      <c r="E86" s="42">
        <f>D86*$C$86</f>
        <v>10.66666667</v>
      </c>
      <c r="F86" s="41">
        <v>70.0</v>
      </c>
      <c r="G86" s="42">
        <f>F86*$C$86</f>
        <v>9.333333333</v>
      </c>
      <c r="H86" s="41">
        <v>95.0</v>
      </c>
      <c r="I86" s="42">
        <f>H86*$C$86</f>
        <v>12.66666667</v>
      </c>
    </row>
    <row r="87">
      <c r="A87" s="38" t="s">
        <v>110</v>
      </c>
      <c r="B87" s="39">
        <v>3.0</v>
      </c>
      <c r="C87" s="40">
        <f t="shared" si="23"/>
        <v>0.1</v>
      </c>
      <c r="D87" s="41">
        <v>85.0</v>
      </c>
      <c r="E87" s="42">
        <f>D87*$C$87</f>
        <v>8.5</v>
      </c>
      <c r="F87" s="41">
        <v>80.0</v>
      </c>
      <c r="G87" s="42">
        <f>F87*$C$87</f>
        <v>8</v>
      </c>
      <c r="H87" s="41">
        <v>90.0</v>
      </c>
      <c r="I87" s="42">
        <f>H87*$C$87</f>
        <v>9</v>
      </c>
    </row>
    <row r="88">
      <c r="A88" s="38" t="s">
        <v>111</v>
      </c>
      <c r="B88" s="39">
        <v>2.0</v>
      </c>
      <c r="C88" s="40">
        <f t="shared" si="23"/>
        <v>0.06666666667</v>
      </c>
      <c r="D88" s="41">
        <v>85.0</v>
      </c>
      <c r="E88" s="42">
        <f>D88*$C$88</f>
        <v>5.666666667</v>
      </c>
      <c r="F88" s="41">
        <v>60.0</v>
      </c>
      <c r="G88" s="42">
        <f>F88*$C$88</f>
        <v>4</v>
      </c>
      <c r="H88" s="41">
        <v>70.0</v>
      </c>
      <c r="I88" s="42">
        <f>H88*$C$88</f>
        <v>4.666666667</v>
      </c>
    </row>
    <row r="89">
      <c r="A89" s="38" t="s">
        <v>112</v>
      </c>
      <c r="B89" s="39">
        <v>3.0</v>
      </c>
      <c r="C89" s="40">
        <f t="shared" si="23"/>
        <v>0.1</v>
      </c>
      <c r="D89" s="41">
        <v>80.0</v>
      </c>
      <c r="E89" s="42">
        <f>D89*$C$89</f>
        <v>8</v>
      </c>
      <c r="F89" s="41">
        <v>60.0</v>
      </c>
      <c r="G89" s="42">
        <f>F89*$C$89</f>
        <v>6</v>
      </c>
      <c r="H89" s="41">
        <v>90.0</v>
      </c>
      <c r="I89" s="42">
        <f>H89*$C$89</f>
        <v>9</v>
      </c>
    </row>
    <row r="90">
      <c r="A90" s="38" t="s">
        <v>62</v>
      </c>
      <c r="B90" s="39">
        <v>2.0</v>
      </c>
      <c r="C90" s="40">
        <f t="shared" si="23"/>
        <v>0.06666666667</v>
      </c>
      <c r="D90" s="41">
        <v>90.0</v>
      </c>
      <c r="E90" s="42">
        <f>D90*$C$90</f>
        <v>6</v>
      </c>
      <c r="F90" s="41">
        <v>85.0</v>
      </c>
      <c r="G90" s="42">
        <f>F90*$C$90</f>
        <v>5.666666667</v>
      </c>
      <c r="H90" s="41">
        <v>70.0</v>
      </c>
      <c r="I90" s="42">
        <f>H90*$C$90</f>
        <v>4.666666667</v>
      </c>
    </row>
    <row r="91">
      <c r="A91" s="38" t="s">
        <v>33</v>
      </c>
      <c r="B91" s="39">
        <v>2.0</v>
      </c>
      <c r="C91" s="40">
        <f t="shared" si="23"/>
        <v>0.06666666667</v>
      </c>
      <c r="D91" s="41">
        <v>95.0</v>
      </c>
      <c r="E91" s="42">
        <f>D91*$C$91</f>
        <v>6.333333333</v>
      </c>
      <c r="F91" s="41">
        <v>85.0</v>
      </c>
      <c r="G91" s="42">
        <f>F91*$C$91</f>
        <v>5.666666667</v>
      </c>
      <c r="H91" s="41">
        <v>50.0</v>
      </c>
      <c r="I91" s="42">
        <f>H91*$C$91</f>
        <v>3.333333333</v>
      </c>
    </row>
    <row r="92">
      <c r="A92" s="38" t="s">
        <v>40</v>
      </c>
      <c r="B92" s="39">
        <v>3.0</v>
      </c>
      <c r="C92" s="40">
        <f t="shared" si="23"/>
        <v>0.1</v>
      </c>
      <c r="D92" s="41">
        <v>90.0</v>
      </c>
      <c r="E92" s="42">
        <f t="shared" ref="E92:E95" si="24">D92*$C$92</f>
        <v>9</v>
      </c>
      <c r="F92" s="41">
        <v>80.0</v>
      </c>
      <c r="G92" s="42">
        <f t="shared" ref="G92:G95" si="25">F92*$C$92</f>
        <v>8</v>
      </c>
      <c r="H92" s="41">
        <v>60.0</v>
      </c>
      <c r="I92" s="42">
        <f t="shared" ref="I92:I95" si="26">H92*$C$92</f>
        <v>6</v>
      </c>
    </row>
    <row r="93">
      <c r="A93" s="38" t="s">
        <v>113</v>
      </c>
      <c r="B93" s="39">
        <v>2.0</v>
      </c>
      <c r="C93" s="40">
        <f t="shared" si="23"/>
        <v>0.06666666667</v>
      </c>
      <c r="D93" s="41">
        <v>80.0</v>
      </c>
      <c r="E93" s="42">
        <f t="shared" si="24"/>
        <v>8</v>
      </c>
      <c r="F93" s="41">
        <v>90.0</v>
      </c>
      <c r="G93" s="42">
        <f t="shared" si="25"/>
        <v>9</v>
      </c>
      <c r="H93" s="41">
        <v>75.0</v>
      </c>
      <c r="I93" s="42">
        <f t="shared" si="26"/>
        <v>7.5</v>
      </c>
    </row>
    <row r="94">
      <c r="A94" s="38" t="s">
        <v>37</v>
      </c>
      <c r="B94" s="39">
        <v>3.0</v>
      </c>
      <c r="C94" s="40">
        <f t="shared" si="23"/>
        <v>0.1</v>
      </c>
      <c r="D94" s="41">
        <v>85.0</v>
      </c>
      <c r="E94" s="42">
        <f t="shared" si="24"/>
        <v>8.5</v>
      </c>
      <c r="F94" s="41">
        <v>75.0</v>
      </c>
      <c r="G94" s="42">
        <f t="shared" si="25"/>
        <v>7.5</v>
      </c>
      <c r="H94" s="41">
        <v>90.0</v>
      </c>
      <c r="I94" s="42">
        <f t="shared" si="26"/>
        <v>9</v>
      </c>
    </row>
    <row r="95">
      <c r="A95" s="38" t="s">
        <v>39</v>
      </c>
      <c r="B95" s="39">
        <v>2.0</v>
      </c>
      <c r="C95" s="40">
        <f t="shared" si="23"/>
        <v>0.06666666667</v>
      </c>
      <c r="D95" s="41">
        <v>90.0</v>
      </c>
      <c r="E95" s="42">
        <f t="shared" si="24"/>
        <v>9</v>
      </c>
      <c r="F95" s="41">
        <v>85.0</v>
      </c>
      <c r="G95" s="42">
        <f t="shared" si="25"/>
        <v>8.5</v>
      </c>
      <c r="H95" s="41">
        <v>80.0</v>
      </c>
      <c r="I95" s="42">
        <f t="shared" si="26"/>
        <v>8</v>
      </c>
    </row>
    <row r="96">
      <c r="A96" s="43" t="s">
        <v>18</v>
      </c>
      <c r="B96" s="44">
        <f t="shared" ref="B96:C96" si="27">SUM(B85:B95)</f>
        <v>30</v>
      </c>
      <c r="C96" s="45">
        <f t="shared" si="27"/>
        <v>1</v>
      </c>
      <c r="D96" s="47">
        <f>SUM(E85:E95)/100</f>
        <v>0.91</v>
      </c>
      <c r="E96" s="33"/>
      <c r="F96" s="46">
        <f>SUM(G85:G95)/100</f>
        <v>0.7966666667</v>
      </c>
      <c r="G96" s="33"/>
      <c r="H96" s="49">
        <f>SUM(I85:I95)/100</f>
        <v>0.865</v>
      </c>
      <c r="I96" s="33"/>
    </row>
    <row r="97">
      <c r="A97" s="30">
        <v>9.0</v>
      </c>
      <c r="B97" s="31" t="s">
        <v>114</v>
      </c>
      <c r="C97" s="3"/>
      <c r="D97" s="31" t="s">
        <v>115</v>
      </c>
      <c r="E97" s="3"/>
      <c r="F97" s="31" t="s">
        <v>116</v>
      </c>
      <c r="G97" s="3"/>
      <c r="H97" s="31" t="s">
        <v>117</v>
      </c>
      <c r="I97" s="3"/>
    </row>
    <row r="98">
      <c r="A98" s="38" t="s">
        <v>118</v>
      </c>
      <c r="B98" s="39">
        <v>4.0</v>
      </c>
      <c r="C98" s="40">
        <f t="shared" ref="C98:C106" si="28">B98/$B$107</f>
        <v>0.1333333333</v>
      </c>
      <c r="D98" s="41">
        <v>70.0</v>
      </c>
      <c r="E98" s="42">
        <f>D98*$C$98</f>
        <v>9.333333333</v>
      </c>
      <c r="F98" s="41">
        <v>90.0</v>
      </c>
      <c r="G98" s="42">
        <f>F98*$C$98</f>
        <v>12</v>
      </c>
      <c r="H98" s="41">
        <v>95.0</v>
      </c>
      <c r="I98" s="42">
        <f>H98*$C$98</f>
        <v>12.66666667</v>
      </c>
    </row>
    <row r="99">
      <c r="A99" s="38" t="s">
        <v>119</v>
      </c>
      <c r="B99" s="39">
        <v>3.0</v>
      </c>
      <c r="C99" s="40">
        <f t="shared" si="28"/>
        <v>0.1</v>
      </c>
      <c r="D99" s="41">
        <v>80.0</v>
      </c>
      <c r="E99" s="42">
        <f>D99*$C$99</f>
        <v>8</v>
      </c>
      <c r="F99" s="41">
        <v>85.0</v>
      </c>
      <c r="G99" s="42">
        <f>F99*$C$99</f>
        <v>8.5</v>
      </c>
      <c r="H99" s="41">
        <v>85.0</v>
      </c>
      <c r="I99" s="42">
        <f>H99*$C$99</f>
        <v>8.5</v>
      </c>
    </row>
    <row r="100">
      <c r="A100" s="38" t="s">
        <v>62</v>
      </c>
      <c r="B100" s="39">
        <v>3.0</v>
      </c>
      <c r="C100" s="40">
        <f t="shared" si="28"/>
        <v>0.1</v>
      </c>
      <c r="D100" s="41">
        <v>95.0</v>
      </c>
      <c r="E100" s="42">
        <f>D100*$C$100</f>
        <v>9.5</v>
      </c>
      <c r="F100" s="41">
        <v>85.0</v>
      </c>
      <c r="G100" s="42">
        <f>F100*$C$100</f>
        <v>8.5</v>
      </c>
      <c r="H100" s="41">
        <v>80.0</v>
      </c>
      <c r="I100" s="42">
        <f>H100*$C$100</f>
        <v>8</v>
      </c>
    </row>
    <row r="101">
      <c r="A101" s="38" t="s">
        <v>103</v>
      </c>
      <c r="B101" s="39">
        <v>4.0</v>
      </c>
      <c r="C101" s="40">
        <f t="shared" si="28"/>
        <v>0.1333333333</v>
      </c>
      <c r="D101" s="41">
        <v>90.0</v>
      </c>
      <c r="E101" s="42">
        <f>D101*$C$101</f>
        <v>12</v>
      </c>
      <c r="F101" s="41">
        <v>70.0</v>
      </c>
      <c r="G101" s="42">
        <f>F101*$C$101</f>
        <v>9.333333333</v>
      </c>
      <c r="H101" s="41">
        <v>75.0</v>
      </c>
      <c r="I101" s="42">
        <f>H101*$C$101</f>
        <v>10</v>
      </c>
    </row>
    <row r="102">
      <c r="A102" s="38" t="s">
        <v>33</v>
      </c>
      <c r="B102" s="39">
        <v>2.0</v>
      </c>
      <c r="C102" s="40">
        <f t="shared" si="28"/>
        <v>0.06666666667</v>
      </c>
      <c r="D102" s="41">
        <v>95.0</v>
      </c>
      <c r="E102" s="42">
        <f>D102*$C$102</f>
        <v>6.333333333</v>
      </c>
      <c r="F102" s="41">
        <v>80.0</v>
      </c>
      <c r="G102" s="42">
        <f>F102*$C$102</f>
        <v>5.333333333</v>
      </c>
      <c r="H102" s="41">
        <v>85.0</v>
      </c>
      <c r="I102" s="42">
        <f>H102*$C$102</f>
        <v>5.666666667</v>
      </c>
    </row>
    <row r="103">
      <c r="A103" s="38" t="s">
        <v>41</v>
      </c>
      <c r="B103" s="39">
        <v>2.0</v>
      </c>
      <c r="C103" s="40">
        <f t="shared" si="28"/>
        <v>0.06666666667</v>
      </c>
      <c r="D103" s="41">
        <v>90.0</v>
      </c>
      <c r="E103" s="42">
        <f>D103*$C$103</f>
        <v>6</v>
      </c>
      <c r="F103" s="41">
        <v>80.0</v>
      </c>
      <c r="G103" s="42">
        <f>F103*$C$103</f>
        <v>5.333333333</v>
      </c>
      <c r="H103" s="41">
        <v>70.0</v>
      </c>
      <c r="I103" s="42">
        <f>H103*$C$103</f>
        <v>4.666666667</v>
      </c>
    </row>
    <row r="104">
      <c r="A104" s="38" t="s">
        <v>120</v>
      </c>
      <c r="B104" s="39">
        <v>3.0</v>
      </c>
      <c r="C104" s="40">
        <f t="shared" si="28"/>
        <v>0.1</v>
      </c>
      <c r="D104" s="41">
        <v>85.0</v>
      </c>
      <c r="E104" s="42">
        <f t="shared" ref="E104:E106" si="29">D104*$C$104</f>
        <v>8.5</v>
      </c>
      <c r="F104" s="41">
        <v>80.0</v>
      </c>
      <c r="G104" s="42">
        <f t="shared" ref="G104:G106" si="30">F104*$C$104</f>
        <v>8</v>
      </c>
      <c r="H104" s="41">
        <v>90.0</v>
      </c>
      <c r="I104" s="42">
        <f t="shared" ref="I104:I106" si="31">H104*$C$104</f>
        <v>9</v>
      </c>
    </row>
    <row r="105">
      <c r="A105" s="38" t="s">
        <v>121</v>
      </c>
      <c r="B105" s="39">
        <v>5.0</v>
      </c>
      <c r="C105" s="40">
        <f t="shared" si="28"/>
        <v>0.1666666667</v>
      </c>
      <c r="D105" s="41">
        <v>95.0</v>
      </c>
      <c r="E105" s="42">
        <f t="shared" si="29"/>
        <v>9.5</v>
      </c>
      <c r="F105" s="41">
        <v>80.0</v>
      </c>
      <c r="G105" s="42">
        <f t="shared" si="30"/>
        <v>8</v>
      </c>
      <c r="H105" s="41">
        <v>85.0</v>
      </c>
      <c r="I105" s="42">
        <f t="shared" si="31"/>
        <v>8.5</v>
      </c>
    </row>
    <row r="106">
      <c r="A106" s="38" t="s">
        <v>37</v>
      </c>
      <c r="B106" s="39">
        <v>4.0</v>
      </c>
      <c r="C106" s="40">
        <f t="shared" si="28"/>
        <v>0.1333333333</v>
      </c>
      <c r="D106" s="41">
        <v>90.0</v>
      </c>
      <c r="E106" s="42">
        <f t="shared" si="29"/>
        <v>9</v>
      </c>
      <c r="F106" s="41">
        <v>85.0</v>
      </c>
      <c r="G106" s="42">
        <f t="shared" si="30"/>
        <v>8.5</v>
      </c>
      <c r="H106" s="41">
        <v>85.0</v>
      </c>
      <c r="I106" s="42">
        <f t="shared" si="31"/>
        <v>8.5</v>
      </c>
    </row>
    <row r="107">
      <c r="A107" s="43" t="s">
        <v>18</v>
      </c>
      <c r="B107" s="44">
        <f t="shared" ref="B107:C107" si="32">SUM(B98:B106)</f>
        <v>30</v>
      </c>
      <c r="C107" s="45">
        <f t="shared" si="32"/>
        <v>1</v>
      </c>
      <c r="D107" s="47">
        <f>SUM(E98:E106)/100</f>
        <v>0.7816666667</v>
      </c>
      <c r="E107" s="33"/>
      <c r="F107" s="49">
        <f>SUM(G98:G106)/100</f>
        <v>0.735</v>
      </c>
      <c r="G107" s="33"/>
      <c r="H107" s="46">
        <f>SUM(I98:I106)/100</f>
        <v>0.755</v>
      </c>
      <c r="I107" s="33"/>
    </row>
    <row r="108">
      <c r="A108" s="30">
        <v>10.0</v>
      </c>
      <c r="B108" s="31" t="s">
        <v>122</v>
      </c>
      <c r="C108" s="3"/>
      <c r="D108" s="31" t="s">
        <v>123</v>
      </c>
      <c r="E108" s="3"/>
      <c r="F108" s="31" t="s">
        <v>124</v>
      </c>
      <c r="G108" s="3"/>
      <c r="H108" s="31" t="s">
        <v>125</v>
      </c>
      <c r="I108" s="3"/>
    </row>
    <row r="109">
      <c r="A109" s="38" t="s">
        <v>126</v>
      </c>
      <c r="B109" s="39">
        <v>5.0</v>
      </c>
      <c r="C109" s="40">
        <f t="shared" ref="C109:C118" si="33">B109/$B$119</f>
        <v>0.1666666667</v>
      </c>
      <c r="D109" s="41">
        <v>90.0</v>
      </c>
      <c r="E109" s="42">
        <f>D109*$C$109</f>
        <v>15</v>
      </c>
      <c r="F109" s="41">
        <v>95.0</v>
      </c>
      <c r="G109" s="42">
        <f>F109*$C$109</f>
        <v>15.83333333</v>
      </c>
      <c r="H109" s="41">
        <v>80.0</v>
      </c>
      <c r="I109" s="42">
        <f>H109*$C$109</f>
        <v>13.33333333</v>
      </c>
    </row>
    <row r="110">
      <c r="A110" s="38" t="s">
        <v>37</v>
      </c>
      <c r="B110" s="39">
        <v>4.0</v>
      </c>
      <c r="C110" s="40">
        <f t="shared" si="33"/>
        <v>0.1333333333</v>
      </c>
      <c r="D110" s="41">
        <v>80.0</v>
      </c>
      <c r="E110" s="42">
        <f>D110*$C$110</f>
        <v>10.66666667</v>
      </c>
      <c r="F110" s="41">
        <v>90.0</v>
      </c>
      <c r="G110" s="42">
        <f>F110*$C$110</f>
        <v>12</v>
      </c>
      <c r="H110" s="41">
        <v>85.0</v>
      </c>
      <c r="I110" s="42">
        <f>H110*$C$110</f>
        <v>11.33333333</v>
      </c>
    </row>
    <row r="111">
      <c r="A111" s="38" t="s">
        <v>127</v>
      </c>
      <c r="B111" s="39">
        <v>3.0</v>
      </c>
      <c r="C111" s="40">
        <f t="shared" si="33"/>
        <v>0.1</v>
      </c>
      <c r="D111" s="41">
        <v>75.0</v>
      </c>
      <c r="E111" s="42">
        <f>D111*$C$111</f>
        <v>7.5</v>
      </c>
      <c r="F111" s="41">
        <v>85.0</v>
      </c>
      <c r="G111" s="42">
        <f>F111*$C$111</f>
        <v>8.5</v>
      </c>
      <c r="H111" s="41">
        <v>65.0</v>
      </c>
      <c r="I111" s="42">
        <f>H111*$C$111</f>
        <v>6.5</v>
      </c>
    </row>
    <row r="112">
      <c r="A112" s="38" t="s">
        <v>128</v>
      </c>
      <c r="B112" s="39">
        <v>3.0</v>
      </c>
      <c r="C112" s="40">
        <f t="shared" si="33"/>
        <v>0.1</v>
      </c>
      <c r="D112" s="41">
        <v>85.0</v>
      </c>
      <c r="E112" s="42">
        <f>D112*$C$112</f>
        <v>8.5</v>
      </c>
      <c r="F112" s="41">
        <v>90.0</v>
      </c>
      <c r="G112" s="42">
        <f>F112*$C$112</f>
        <v>9</v>
      </c>
      <c r="H112" s="41">
        <v>85.0</v>
      </c>
      <c r="I112" s="42">
        <f>H112*$C$112</f>
        <v>8.5</v>
      </c>
    </row>
    <row r="113">
      <c r="A113" s="38" t="s">
        <v>84</v>
      </c>
      <c r="B113" s="39">
        <v>2.0</v>
      </c>
      <c r="C113" s="40">
        <f t="shared" si="33"/>
        <v>0.06666666667</v>
      </c>
      <c r="D113" s="41">
        <v>70.0</v>
      </c>
      <c r="E113" s="42">
        <f>D113*$C$113</f>
        <v>4.666666667</v>
      </c>
      <c r="F113" s="41">
        <v>85.0</v>
      </c>
      <c r="G113" s="42">
        <f>F113*$C$113</f>
        <v>5.666666667</v>
      </c>
      <c r="H113" s="41">
        <v>95.0</v>
      </c>
      <c r="I113" s="42">
        <f>H113*$C$113</f>
        <v>6.333333333</v>
      </c>
    </row>
    <row r="114">
      <c r="A114" s="38" t="s">
        <v>129</v>
      </c>
      <c r="B114" s="39">
        <v>3.0</v>
      </c>
      <c r="C114" s="40">
        <f t="shared" si="33"/>
        <v>0.1</v>
      </c>
      <c r="D114" s="41">
        <v>90.0</v>
      </c>
      <c r="E114" s="42">
        <f>D114*$C$114</f>
        <v>9</v>
      </c>
      <c r="F114" s="41">
        <v>80.0</v>
      </c>
      <c r="G114" s="42">
        <f>F114*$C$114</f>
        <v>8</v>
      </c>
      <c r="H114" s="41">
        <v>85.0</v>
      </c>
      <c r="I114" s="42">
        <f>H114*$C$114</f>
        <v>8.5</v>
      </c>
    </row>
    <row r="115">
      <c r="A115" s="38" t="s">
        <v>81</v>
      </c>
      <c r="B115" s="39">
        <v>2.0</v>
      </c>
      <c r="C115" s="40">
        <f t="shared" si="33"/>
        <v>0.06666666667</v>
      </c>
      <c r="D115" s="41">
        <v>70.0</v>
      </c>
      <c r="E115" s="42">
        <f t="shared" ref="E115:E118" si="34">D115*$C$115</f>
        <v>4.666666667</v>
      </c>
      <c r="F115" s="41">
        <v>80.0</v>
      </c>
      <c r="G115" s="42">
        <f t="shared" ref="G115:G118" si="35">F115*$C$115</f>
        <v>5.333333333</v>
      </c>
      <c r="H115" s="41">
        <v>90.0</v>
      </c>
      <c r="I115" s="42">
        <f t="shared" ref="I115:I118" si="36">H115*$C$115</f>
        <v>6</v>
      </c>
    </row>
    <row r="116">
      <c r="A116" s="38" t="s">
        <v>51</v>
      </c>
      <c r="B116" s="39">
        <v>3.0</v>
      </c>
      <c r="C116" s="40">
        <f t="shared" si="33"/>
        <v>0.1</v>
      </c>
      <c r="D116" s="41">
        <v>95.0</v>
      </c>
      <c r="E116" s="42">
        <f t="shared" si="34"/>
        <v>6.333333333</v>
      </c>
      <c r="F116" s="41">
        <v>95.0</v>
      </c>
      <c r="G116" s="42">
        <f t="shared" si="35"/>
        <v>6.333333333</v>
      </c>
      <c r="H116" s="41">
        <v>50.0</v>
      </c>
      <c r="I116" s="42">
        <f t="shared" si="36"/>
        <v>3.333333333</v>
      </c>
    </row>
    <row r="117">
      <c r="A117" s="38" t="s">
        <v>130</v>
      </c>
      <c r="B117" s="39">
        <v>3.0</v>
      </c>
      <c r="C117" s="40">
        <f t="shared" si="33"/>
        <v>0.1</v>
      </c>
      <c r="D117" s="41">
        <v>80.0</v>
      </c>
      <c r="E117" s="42">
        <f t="shared" si="34"/>
        <v>5.333333333</v>
      </c>
      <c r="F117" s="41">
        <v>95.0</v>
      </c>
      <c r="G117" s="42">
        <f t="shared" si="35"/>
        <v>6.333333333</v>
      </c>
      <c r="H117" s="41">
        <v>75.0</v>
      </c>
      <c r="I117" s="42">
        <f t="shared" si="36"/>
        <v>5</v>
      </c>
    </row>
    <row r="118">
      <c r="A118" s="38" t="s">
        <v>131</v>
      </c>
      <c r="B118" s="39">
        <v>2.0</v>
      </c>
      <c r="C118" s="40">
        <f t="shared" si="33"/>
        <v>0.06666666667</v>
      </c>
      <c r="D118" s="41">
        <v>95.0</v>
      </c>
      <c r="E118" s="42">
        <f t="shared" si="34"/>
        <v>6.333333333</v>
      </c>
      <c r="F118" s="41">
        <v>95.0</v>
      </c>
      <c r="G118" s="42">
        <f t="shared" si="35"/>
        <v>6.333333333</v>
      </c>
      <c r="H118" s="41">
        <v>60.0</v>
      </c>
      <c r="I118" s="42">
        <f t="shared" si="36"/>
        <v>4</v>
      </c>
    </row>
    <row r="119">
      <c r="A119" s="43" t="s">
        <v>18</v>
      </c>
      <c r="B119" s="44">
        <f t="shared" ref="B119:C119" si="37">SUM(B109:B118)</f>
        <v>30</v>
      </c>
      <c r="C119" s="45">
        <f t="shared" si="37"/>
        <v>1</v>
      </c>
      <c r="D119" s="46">
        <f>SUM(E109:E118)/100</f>
        <v>0.78</v>
      </c>
      <c r="E119" s="33"/>
      <c r="F119" s="47">
        <f>SUM(G109:G118)/100</f>
        <v>0.8333333333</v>
      </c>
      <c r="G119" s="33"/>
      <c r="H119" s="46">
        <f>SUM(I109:I118)/100</f>
        <v>0.7283333333</v>
      </c>
      <c r="I119" s="33"/>
    </row>
    <row r="120">
      <c r="A120" s="30">
        <v>11.0</v>
      </c>
      <c r="B120" s="31" t="s">
        <v>132</v>
      </c>
      <c r="C120" s="3"/>
      <c r="D120" s="31" t="s">
        <v>133</v>
      </c>
      <c r="E120" s="3"/>
      <c r="F120" s="31" t="s">
        <v>134</v>
      </c>
      <c r="G120" s="3"/>
      <c r="H120" s="31" t="s">
        <v>135</v>
      </c>
      <c r="I120" s="3"/>
    </row>
    <row r="121">
      <c r="A121" s="48" t="s">
        <v>136</v>
      </c>
      <c r="B121" s="39">
        <v>4.0</v>
      </c>
      <c r="C121" s="40">
        <f t="shared" ref="C121:C130" si="38">B121/$B$131</f>
        <v>0.1333333333</v>
      </c>
      <c r="D121" s="41">
        <v>90.0</v>
      </c>
      <c r="E121" s="42">
        <f>D121*$C$121</f>
        <v>12</v>
      </c>
      <c r="F121" s="41">
        <v>80.0</v>
      </c>
      <c r="G121" s="42">
        <f>F121*$C$121</f>
        <v>10.66666667</v>
      </c>
      <c r="H121" s="41">
        <v>75.0</v>
      </c>
      <c r="I121" s="42">
        <f>H121*$C$121</f>
        <v>10</v>
      </c>
    </row>
    <row r="122">
      <c r="A122" s="38" t="s">
        <v>52</v>
      </c>
      <c r="B122" s="39">
        <v>5.0</v>
      </c>
      <c r="C122" s="40">
        <f t="shared" si="38"/>
        <v>0.1666666667</v>
      </c>
      <c r="D122" s="41">
        <v>75.0</v>
      </c>
      <c r="E122" s="42">
        <f>D122*$C$122</f>
        <v>12.5</v>
      </c>
      <c r="F122" s="41">
        <v>85.0</v>
      </c>
      <c r="G122" s="42">
        <f>F122*$C$122</f>
        <v>14.16666667</v>
      </c>
      <c r="H122" s="41">
        <v>70.0</v>
      </c>
      <c r="I122" s="42">
        <f>H122*$C$122</f>
        <v>11.66666667</v>
      </c>
    </row>
    <row r="123">
      <c r="A123" s="38" t="s">
        <v>137</v>
      </c>
      <c r="B123" s="39">
        <v>3.0</v>
      </c>
      <c r="C123" s="40">
        <f t="shared" si="38"/>
        <v>0.1</v>
      </c>
      <c r="D123" s="41">
        <v>70.0</v>
      </c>
      <c r="E123" s="42">
        <f>D123*$C$123</f>
        <v>7</v>
      </c>
      <c r="F123" s="41">
        <v>90.0</v>
      </c>
      <c r="G123" s="42">
        <f>F123*$C$123</f>
        <v>9</v>
      </c>
      <c r="H123" s="41">
        <v>95.0</v>
      </c>
      <c r="I123" s="42">
        <f>H123*$C$123</f>
        <v>9.5</v>
      </c>
    </row>
    <row r="124">
      <c r="A124" s="38" t="s">
        <v>138</v>
      </c>
      <c r="B124" s="39">
        <v>3.0</v>
      </c>
      <c r="C124" s="40">
        <f t="shared" si="38"/>
        <v>0.1</v>
      </c>
      <c r="D124" s="41">
        <v>85.0</v>
      </c>
      <c r="E124" s="42">
        <f>D124*$C$124</f>
        <v>8.5</v>
      </c>
      <c r="F124" s="41">
        <v>90.0</v>
      </c>
      <c r="G124" s="42">
        <f>F124*$C$124</f>
        <v>9</v>
      </c>
      <c r="H124" s="41">
        <v>90.0</v>
      </c>
      <c r="I124" s="42">
        <f>H124*$C$124</f>
        <v>9</v>
      </c>
    </row>
    <row r="125">
      <c r="A125" s="38" t="s">
        <v>139</v>
      </c>
      <c r="B125" s="39">
        <v>2.0</v>
      </c>
      <c r="C125" s="40">
        <f t="shared" si="38"/>
        <v>0.06666666667</v>
      </c>
      <c r="D125" s="41">
        <v>60.0</v>
      </c>
      <c r="E125" s="42">
        <f>D125*$C$125</f>
        <v>4</v>
      </c>
      <c r="F125" s="41">
        <v>95.0</v>
      </c>
      <c r="G125" s="42">
        <f>D125*$C$125</f>
        <v>4</v>
      </c>
      <c r="H125" s="41">
        <v>95.0</v>
      </c>
      <c r="I125" s="42">
        <f>D125*$C$125</f>
        <v>4</v>
      </c>
    </row>
    <row r="126">
      <c r="A126" s="38" t="s">
        <v>140</v>
      </c>
      <c r="B126" s="39">
        <v>3.0</v>
      </c>
      <c r="C126" s="40">
        <f t="shared" si="38"/>
        <v>0.1</v>
      </c>
      <c r="D126" s="41">
        <v>90.0</v>
      </c>
      <c r="E126" s="42">
        <f>D125*$C$125</f>
        <v>4</v>
      </c>
      <c r="F126" s="41">
        <v>85.0</v>
      </c>
      <c r="G126" s="42">
        <f>D125*$C$125</f>
        <v>4</v>
      </c>
      <c r="H126" s="41">
        <v>80.0</v>
      </c>
      <c r="I126" s="42">
        <f>D125*$C$125</f>
        <v>4</v>
      </c>
    </row>
    <row r="127">
      <c r="A127" s="38" t="s">
        <v>141</v>
      </c>
      <c r="B127" s="39">
        <v>2.0</v>
      </c>
      <c r="C127" s="40">
        <f t="shared" si="38"/>
        <v>0.06666666667</v>
      </c>
      <c r="D127" s="41">
        <v>70.0</v>
      </c>
      <c r="E127" s="42">
        <f t="shared" ref="E127:E130" si="39">D127*$C$127</f>
        <v>4.666666667</v>
      </c>
      <c r="F127" s="41">
        <v>90.0</v>
      </c>
      <c r="G127" s="42">
        <f t="shared" ref="G127:G130" si="40">F127*$C$127</f>
        <v>6</v>
      </c>
      <c r="H127" s="41">
        <v>85.0</v>
      </c>
      <c r="I127" s="42">
        <f t="shared" ref="I127:I130" si="41">H127*$C$127</f>
        <v>5.666666667</v>
      </c>
    </row>
    <row r="128">
      <c r="A128" s="38" t="s">
        <v>142</v>
      </c>
      <c r="B128" s="39">
        <v>3.0</v>
      </c>
      <c r="C128" s="40">
        <f t="shared" si="38"/>
        <v>0.1</v>
      </c>
      <c r="D128" s="41">
        <v>65.0</v>
      </c>
      <c r="E128" s="42">
        <f t="shared" si="39"/>
        <v>4.333333333</v>
      </c>
      <c r="F128" s="41">
        <v>90.0</v>
      </c>
      <c r="G128" s="42">
        <f t="shared" si="40"/>
        <v>6</v>
      </c>
      <c r="H128" s="41">
        <v>95.0</v>
      </c>
      <c r="I128" s="42">
        <f t="shared" si="41"/>
        <v>6.333333333</v>
      </c>
    </row>
    <row r="129">
      <c r="A129" s="38" t="s">
        <v>143</v>
      </c>
      <c r="B129" s="39">
        <v>3.0</v>
      </c>
      <c r="C129" s="40">
        <f t="shared" si="38"/>
        <v>0.1</v>
      </c>
      <c r="D129" s="41">
        <v>70.0</v>
      </c>
      <c r="E129" s="42">
        <f t="shared" si="39"/>
        <v>4.666666667</v>
      </c>
      <c r="F129" s="41">
        <v>85.0</v>
      </c>
      <c r="G129" s="42">
        <f t="shared" si="40"/>
        <v>5.666666667</v>
      </c>
      <c r="H129" s="41">
        <v>80.0</v>
      </c>
      <c r="I129" s="42">
        <f t="shared" si="41"/>
        <v>5.333333333</v>
      </c>
    </row>
    <row r="130">
      <c r="A130" s="38" t="s">
        <v>144</v>
      </c>
      <c r="B130" s="39">
        <v>2.0</v>
      </c>
      <c r="C130" s="40">
        <f t="shared" si="38"/>
        <v>0.06666666667</v>
      </c>
      <c r="D130" s="41">
        <v>85.0</v>
      </c>
      <c r="E130" s="42">
        <f t="shared" si="39"/>
        <v>5.666666667</v>
      </c>
      <c r="F130" s="41">
        <v>80.0</v>
      </c>
      <c r="G130" s="42">
        <f t="shared" si="40"/>
        <v>5.333333333</v>
      </c>
      <c r="H130" s="41">
        <v>70.0</v>
      </c>
      <c r="I130" s="42">
        <f t="shared" si="41"/>
        <v>4.666666667</v>
      </c>
    </row>
    <row r="131">
      <c r="A131" s="43" t="s">
        <v>18</v>
      </c>
      <c r="B131" s="44">
        <f t="shared" ref="B131:C131" si="42">SUM(B121:B130)</f>
        <v>30</v>
      </c>
      <c r="C131" s="45">
        <f t="shared" si="42"/>
        <v>1</v>
      </c>
      <c r="D131" s="46">
        <f>SUM(E121:E130)/100</f>
        <v>0.6733333333</v>
      </c>
      <c r="E131" s="33"/>
      <c r="F131" s="47">
        <f>SUM(G121:G130)/100</f>
        <v>0.7383333333</v>
      </c>
      <c r="G131" s="33"/>
      <c r="H131" s="49">
        <f>SUM(I121:I130)/100</f>
        <v>0.7016666667</v>
      </c>
      <c r="I131" s="33"/>
    </row>
    <row r="132">
      <c r="A132" s="30">
        <v>12.0</v>
      </c>
      <c r="B132" s="31" t="s">
        <v>145</v>
      </c>
      <c r="C132" s="3"/>
      <c r="D132" s="31" t="s">
        <v>146</v>
      </c>
      <c r="E132" s="3"/>
      <c r="F132" s="31" t="s">
        <v>147</v>
      </c>
      <c r="G132" s="3"/>
      <c r="H132" s="31" t="s">
        <v>148</v>
      </c>
      <c r="I132" s="3"/>
    </row>
    <row r="133">
      <c r="A133" s="38" t="s">
        <v>60</v>
      </c>
      <c r="B133" s="39">
        <v>5.0</v>
      </c>
      <c r="C133" s="40">
        <f t="shared" ref="C133:C142" si="43">B133/$B$143</f>
        <v>0.1666666667</v>
      </c>
      <c r="D133" s="41">
        <v>95.0</v>
      </c>
      <c r="E133" s="42">
        <f>D133*$C$133</f>
        <v>15.83333333</v>
      </c>
      <c r="F133" s="41">
        <v>75.0</v>
      </c>
      <c r="G133" s="42">
        <f>F133*$C$133</f>
        <v>12.5</v>
      </c>
      <c r="H133" s="41">
        <v>65.0</v>
      </c>
      <c r="I133" s="42">
        <f>H133*$C$133</f>
        <v>10.83333333</v>
      </c>
    </row>
    <row r="134">
      <c r="A134" s="38" t="s">
        <v>149</v>
      </c>
      <c r="B134" s="39">
        <v>4.0</v>
      </c>
      <c r="C134" s="40">
        <f t="shared" si="43"/>
        <v>0.1333333333</v>
      </c>
      <c r="D134" s="41">
        <v>70.0</v>
      </c>
      <c r="E134" s="42">
        <f>D134*$C$134</f>
        <v>9.333333333</v>
      </c>
      <c r="F134" s="41">
        <v>90.0</v>
      </c>
      <c r="G134" s="42">
        <f>F134*$C$134</f>
        <v>12</v>
      </c>
      <c r="H134" s="41">
        <v>80.0</v>
      </c>
      <c r="I134" s="42">
        <f>H134*$C$134</f>
        <v>10.66666667</v>
      </c>
    </row>
    <row r="135">
      <c r="A135" s="38" t="s">
        <v>150</v>
      </c>
      <c r="B135" s="39">
        <v>2.0</v>
      </c>
      <c r="C135" s="40">
        <f t="shared" si="43"/>
        <v>0.06666666667</v>
      </c>
      <c r="D135" s="41">
        <v>80.0</v>
      </c>
      <c r="E135" s="42">
        <f>D135*$C$135</f>
        <v>5.333333333</v>
      </c>
      <c r="F135" s="41">
        <v>85.0</v>
      </c>
      <c r="G135" s="42">
        <f>F135*$C$135</f>
        <v>5.666666667</v>
      </c>
      <c r="H135" s="41">
        <v>90.0</v>
      </c>
      <c r="I135" s="42">
        <f>H135*$C$135</f>
        <v>6</v>
      </c>
    </row>
    <row r="136">
      <c r="A136" s="38" t="s">
        <v>33</v>
      </c>
      <c r="B136" s="39">
        <v>3.0</v>
      </c>
      <c r="C136" s="40">
        <f t="shared" si="43"/>
        <v>0.1</v>
      </c>
      <c r="D136" s="41">
        <v>70.0</v>
      </c>
      <c r="E136" s="42">
        <f>D136*$C$136</f>
        <v>7</v>
      </c>
      <c r="F136" s="41">
        <v>85.0</v>
      </c>
      <c r="G136" s="42">
        <f>F136*$C$136</f>
        <v>8.5</v>
      </c>
      <c r="H136" s="41">
        <v>95.0</v>
      </c>
      <c r="I136" s="42">
        <f>H136*$C$136</f>
        <v>9.5</v>
      </c>
    </row>
    <row r="137">
      <c r="A137" s="38" t="s">
        <v>151</v>
      </c>
      <c r="B137" s="39">
        <v>3.0</v>
      </c>
      <c r="C137" s="40">
        <f t="shared" si="43"/>
        <v>0.1</v>
      </c>
      <c r="D137" s="41">
        <v>85.0</v>
      </c>
      <c r="E137" s="42">
        <f>D137*$C$137</f>
        <v>8.5</v>
      </c>
      <c r="F137" s="41">
        <v>90.0</v>
      </c>
      <c r="G137" s="42">
        <f>F137*$C$137</f>
        <v>9</v>
      </c>
      <c r="H137" s="41">
        <v>75.0</v>
      </c>
      <c r="I137" s="42">
        <f>H137*$C$137</f>
        <v>7.5</v>
      </c>
    </row>
    <row r="138">
      <c r="A138" s="38" t="s">
        <v>152</v>
      </c>
      <c r="B138" s="39">
        <v>3.0</v>
      </c>
      <c r="C138" s="40">
        <f t="shared" si="43"/>
        <v>0.1</v>
      </c>
      <c r="D138" s="41">
        <v>70.0</v>
      </c>
      <c r="E138" s="42">
        <f t="shared" ref="E138:E142" si="44">D138*$C$138</f>
        <v>7</v>
      </c>
      <c r="F138" s="41">
        <v>95.0</v>
      </c>
      <c r="G138" s="42">
        <f t="shared" ref="G138:G142" si="45">F138*$C$138</f>
        <v>9.5</v>
      </c>
      <c r="H138" s="41">
        <v>65.0</v>
      </c>
      <c r="I138" s="42">
        <f t="shared" ref="I138:I142" si="46">H138*$C$138</f>
        <v>6.5</v>
      </c>
    </row>
    <row r="139">
      <c r="A139" s="38" t="s">
        <v>153</v>
      </c>
      <c r="B139" s="39">
        <v>3.0</v>
      </c>
      <c r="C139" s="40">
        <f t="shared" si="43"/>
        <v>0.1</v>
      </c>
      <c r="D139" s="41">
        <v>90.0</v>
      </c>
      <c r="E139" s="42">
        <f t="shared" si="44"/>
        <v>9</v>
      </c>
      <c r="F139" s="41">
        <v>70.0</v>
      </c>
      <c r="G139" s="42">
        <f t="shared" si="45"/>
        <v>7</v>
      </c>
      <c r="H139" s="41">
        <v>65.0</v>
      </c>
      <c r="I139" s="42">
        <f t="shared" si="46"/>
        <v>6.5</v>
      </c>
    </row>
    <row r="140">
      <c r="A140" s="38" t="s">
        <v>154</v>
      </c>
      <c r="B140" s="39">
        <v>2.0</v>
      </c>
      <c r="C140" s="40">
        <f t="shared" si="43"/>
        <v>0.06666666667</v>
      </c>
      <c r="D140" s="41">
        <v>80.0</v>
      </c>
      <c r="E140" s="42">
        <f t="shared" si="44"/>
        <v>8</v>
      </c>
      <c r="F140" s="41">
        <v>75.0</v>
      </c>
      <c r="G140" s="42">
        <f t="shared" si="45"/>
        <v>7.5</v>
      </c>
      <c r="H140" s="41">
        <v>60.0</v>
      </c>
      <c r="I140" s="42">
        <f t="shared" si="46"/>
        <v>6</v>
      </c>
    </row>
    <row r="141">
      <c r="A141" s="38" t="s">
        <v>155</v>
      </c>
      <c r="B141" s="39">
        <v>3.0</v>
      </c>
      <c r="C141" s="40">
        <f t="shared" si="43"/>
        <v>0.1</v>
      </c>
      <c r="D141" s="41">
        <v>75.0</v>
      </c>
      <c r="E141" s="42">
        <f t="shared" si="44"/>
        <v>7.5</v>
      </c>
      <c r="F141" s="41">
        <v>85.0</v>
      </c>
      <c r="G141" s="42">
        <f t="shared" si="45"/>
        <v>8.5</v>
      </c>
      <c r="H141" s="41">
        <v>85.0</v>
      </c>
      <c r="I141" s="42">
        <f t="shared" si="46"/>
        <v>8.5</v>
      </c>
    </row>
    <row r="142">
      <c r="A142" s="38" t="s">
        <v>156</v>
      </c>
      <c r="B142" s="39">
        <v>2.0</v>
      </c>
      <c r="C142" s="40">
        <f t="shared" si="43"/>
        <v>0.06666666667</v>
      </c>
      <c r="D142" s="41">
        <v>90.0</v>
      </c>
      <c r="E142" s="42">
        <f t="shared" si="44"/>
        <v>9</v>
      </c>
      <c r="F142" s="41">
        <v>85.0</v>
      </c>
      <c r="G142" s="42">
        <f t="shared" si="45"/>
        <v>8.5</v>
      </c>
      <c r="H142" s="41">
        <v>80.0</v>
      </c>
      <c r="I142" s="42">
        <f t="shared" si="46"/>
        <v>8</v>
      </c>
    </row>
    <row r="143">
      <c r="A143" s="43" t="s">
        <v>18</v>
      </c>
      <c r="B143" s="44">
        <f t="shared" ref="B143:C143" si="47">SUM(B133:B142)</f>
        <v>30</v>
      </c>
      <c r="C143" s="45">
        <f t="shared" si="47"/>
        <v>1</v>
      </c>
      <c r="D143" s="47">
        <f>SUM(E133:E142)/100</f>
        <v>0.865</v>
      </c>
      <c r="E143" s="33"/>
      <c r="F143" s="46">
        <f>SUM(G133:G142)/100</f>
        <v>0.8866666667</v>
      </c>
      <c r="G143" s="33"/>
      <c r="H143" s="46">
        <f>SUM(I133:I142)/100</f>
        <v>0.8</v>
      </c>
      <c r="I143" s="33"/>
    </row>
    <row r="144">
      <c r="A144" s="30">
        <v>13.0</v>
      </c>
      <c r="B144" s="31" t="s">
        <v>163</v>
      </c>
      <c r="C144" s="3"/>
      <c r="D144" s="31" t="s">
        <v>164</v>
      </c>
      <c r="E144" s="3"/>
      <c r="F144" s="31" t="s">
        <v>165</v>
      </c>
      <c r="G144" s="3"/>
      <c r="H144" s="31" t="s">
        <v>166</v>
      </c>
      <c r="I144" s="3"/>
    </row>
    <row r="145">
      <c r="A145" s="48" t="s">
        <v>167</v>
      </c>
      <c r="B145" s="39">
        <v>5.0</v>
      </c>
      <c r="C145" s="40">
        <f t="shared" ref="C145:C153" si="48">B145/$B$154</f>
        <v>0.2380952381</v>
      </c>
      <c r="D145" s="41">
        <v>90.0</v>
      </c>
      <c r="E145" s="42">
        <f>D145*$C$145</f>
        <v>21.42857143</v>
      </c>
      <c r="F145" s="41">
        <v>95.0</v>
      </c>
      <c r="G145" s="42">
        <f>F145*$C$145</f>
        <v>22.61904762</v>
      </c>
      <c r="H145" s="41">
        <v>70.0</v>
      </c>
      <c r="I145" s="42">
        <f>H145*$C$145</f>
        <v>16.66666667</v>
      </c>
    </row>
    <row r="146">
      <c r="A146" s="48" t="s">
        <v>33</v>
      </c>
      <c r="B146" s="39">
        <v>4.0</v>
      </c>
      <c r="C146" s="40">
        <f t="shared" si="48"/>
        <v>0.1904761905</v>
      </c>
      <c r="D146" s="41">
        <v>70.0</v>
      </c>
      <c r="E146" s="42">
        <f>D146*$C$146</f>
        <v>13.33333333</v>
      </c>
      <c r="F146" s="41">
        <v>95.0</v>
      </c>
      <c r="G146" s="42">
        <f>F146*$C$146</f>
        <v>18.0952381</v>
      </c>
      <c r="H146" s="41">
        <v>45.0</v>
      </c>
      <c r="I146" s="42">
        <f>H146*$C$146</f>
        <v>8.571428571</v>
      </c>
    </row>
    <row r="147">
      <c r="A147" s="38" t="s">
        <v>37</v>
      </c>
      <c r="B147" s="39">
        <v>4.0</v>
      </c>
      <c r="C147" s="40">
        <f t="shared" si="48"/>
        <v>0.1904761905</v>
      </c>
      <c r="D147" s="41">
        <v>90.0</v>
      </c>
      <c r="E147" s="42">
        <f>D147*$C$147</f>
        <v>17.14285714</v>
      </c>
      <c r="F147" s="41">
        <v>95.0</v>
      </c>
      <c r="G147" s="42">
        <f>F147*$C$147</f>
        <v>18.0952381</v>
      </c>
      <c r="H147" s="41">
        <v>50.0</v>
      </c>
      <c r="I147" s="42">
        <f>H147*$C$147</f>
        <v>9.523809524</v>
      </c>
    </row>
    <row r="148">
      <c r="A148" s="38" t="s">
        <v>168</v>
      </c>
      <c r="B148" s="39">
        <v>3.0</v>
      </c>
      <c r="C148" s="40">
        <f t="shared" si="48"/>
        <v>0.1428571429</v>
      </c>
      <c r="D148" s="41">
        <v>85.0</v>
      </c>
      <c r="E148" s="42">
        <f>D148*$C$148</f>
        <v>12.14285714</v>
      </c>
      <c r="F148" s="41">
        <v>90.0</v>
      </c>
      <c r="G148" s="42">
        <f>F148*$C$148</f>
        <v>12.85714286</v>
      </c>
      <c r="H148" s="41">
        <v>40.0</v>
      </c>
      <c r="I148" s="42">
        <f>H148*$C$148</f>
        <v>5.714285714</v>
      </c>
    </row>
    <row r="149">
      <c r="A149" s="38" t="s">
        <v>169</v>
      </c>
      <c r="B149" s="39">
        <v>2.0</v>
      </c>
      <c r="C149" s="40">
        <f t="shared" si="48"/>
        <v>0.09523809524</v>
      </c>
      <c r="D149" s="41">
        <v>85.0</v>
      </c>
      <c r="E149" s="42">
        <f>D149*$C$149</f>
        <v>8.095238095</v>
      </c>
      <c r="F149" s="41">
        <v>95.0</v>
      </c>
      <c r="G149" s="42">
        <f>F149*$C$149</f>
        <v>9.047619048</v>
      </c>
      <c r="H149" s="41">
        <v>65.0</v>
      </c>
      <c r="I149" s="42">
        <f>H149*$C$149</f>
        <v>6.19047619</v>
      </c>
    </row>
    <row r="150">
      <c r="A150" s="38" t="s">
        <v>143</v>
      </c>
      <c r="B150" s="39">
        <v>3.0</v>
      </c>
      <c r="C150" s="40">
        <f t="shared" si="48"/>
        <v>0.1428571429</v>
      </c>
      <c r="D150" s="41">
        <v>90.0</v>
      </c>
      <c r="E150" s="42">
        <f>D150*$C$150</f>
        <v>12.85714286</v>
      </c>
      <c r="F150" s="41">
        <v>75.0</v>
      </c>
      <c r="G150" s="42">
        <f>F150*$C$150</f>
        <v>10.71428571</v>
      </c>
      <c r="H150" s="41">
        <v>90.0</v>
      </c>
      <c r="I150" s="42">
        <f>H150*$C$150</f>
        <v>12.85714286</v>
      </c>
    </row>
    <row r="151">
      <c r="A151" s="38" t="s">
        <v>52</v>
      </c>
      <c r="B151" s="51">
        <v>2.0</v>
      </c>
      <c r="C151" s="52">
        <f t="shared" si="48"/>
        <v>0.09523809524</v>
      </c>
      <c r="D151" s="53">
        <v>85.0</v>
      </c>
      <c r="E151" s="54">
        <f>D151*$C$151</f>
        <v>8.095238095</v>
      </c>
      <c r="F151" s="58">
        <v>80.0</v>
      </c>
      <c r="G151" s="54">
        <f>F151*$C$151</f>
        <v>7.619047619</v>
      </c>
      <c r="H151" s="53">
        <v>60.0</v>
      </c>
      <c r="I151" s="54">
        <f>H151*$C$151</f>
        <v>5.714285714</v>
      </c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</row>
    <row r="152">
      <c r="A152" s="38" t="s">
        <v>81</v>
      </c>
      <c r="B152" s="59">
        <v>3.0</v>
      </c>
      <c r="C152" s="52">
        <f t="shared" si="48"/>
        <v>0.1428571429</v>
      </c>
      <c r="D152" s="53">
        <v>90.0</v>
      </c>
      <c r="E152" s="54">
        <f>D152*$C$152</f>
        <v>12.85714286</v>
      </c>
      <c r="F152" s="53">
        <v>95.0</v>
      </c>
      <c r="G152" s="54">
        <f>F152*$C$152</f>
        <v>13.57142857</v>
      </c>
      <c r="H152" s="53">
        <v>30.0</v>
      </c>
      <c r="I152" s="54">
        <f>H152*$C$152</f>
        <v>4.285714286</v>
      </c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</row>
    <row r="153">
      <c r="A153" s="38" t="s">
        <v>127</v>
      </c>
      <c r="B153" s="51">
        <v>2.0</v>
      </c>
      <c r="C153" s="52">
        <f t="shared" si="48"/>
        <v>0.09523809524</v>
      </c>
      <c r="D153" s="53">
        <v>90.0</v>
      </c>
      <c r="E153" s="54">
        <f>D153*$C$153</f>
        <v>8.571428571</v>
      </c>
      <c r="F153" s="53">
        <v>75.0</v>
      </c>
      <c r="G153" s="54">
        <f>F153*$C$153</f>
        <v>7.142857143</v>
      </c>
      <c r="H153" s="53">
        <v>90.0</v>
      </c>
      <c r="I153" s="54">
        <f>H153*$C$153</f>
        <v>8.571428571</v>
      </c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</row>
    <row r="154">
      <c r="A154" s="43" t="s">
        <v>18</v>
      </c>
      <c r="B154" s="44">
        <f t="shared" ref="B154:C154" si="49">SUM(B145:B150)</f>
        <v>21</v>
      </c>
      <c r="C154" s="45">
        <f t="shared" si="49"/>
        <v>1</v>
      </c>
      <c r="D154" s="46">
        <f>SUM(E145:E150)/100</f>
        <v>0.85</v>
      </c>
      <c r="E154" s="33"/>
      <c r="F154" s="49">
        <f>SUM(G145:G150)/100</f>
        <v>0.9142857143</v>
      </c>
      <c r="G154" s="33"/>
      <c r="H154" s="47">
        <f>SUM(I145:I150)/100</f>
        <v>0.5952380952</v>
      </c>
      <c r="I154" s="33"/>
    </row>
  </sheetData>
  <mergeCells count="104">
    <mergeCell ref="D54:E54"/>
    <mergeCell ref="F54:G54"/>
    <mergeCell ref="H54:I54"/>
    <mergeCell ref="D55:E55"/>
    <mergeCell ref="F55:G55"/>
    <mergeCell ref="H55:I55"/>
    <mergeCell ref="D63:E63"/>
    <mergeCell ref="F63:G63"/>
    <mergeCell ref="H63:I63"/>
    <mergeCell ref="D64:E64"/>
    <mergeCell ref="F64:G64"/>
    <mergeCell ref="H64:I64"/>
    <mergeCell ref="D73:E73"/>
    <mergeCell ref="F73:G73"/>
    <mergeCell ref="H73:I73"/>
    <mergeCell ref="D74:E74"/>
    <mergeCell ref="F74:G74"/>
    <mergeCell ref="H74:I74"/>
    <mergeCell ref="D83:E83"/>
    <mergeCell ref="F83:G83"/>
    <mergeCell ref="H83:I83"/>
    <mergeCell ref="D84:E84"/>
    <mergeCell ref="F84:G84"/>
    <mergeCell ref="H84:I84"/>
    <mergeCell ref="D96:E96"/>
    <mergeCell ref="F96:G96"/>
    <mergeCell ref="H96:I96"/>
    <mergeCell ref="D97:E97"/>
    <mergeCell ref="F97:G97"/>
    <mergeCell ref="H97:I97"/>
    <mergeCell ref="D107:E107"/>
    <mergeCell ref="F107:G107"/>
    <mergeCell ref="H107:I107"/>
    <mergeCell ref="D108:E108"/>
    <mergeCell ref="F108:G108"/>
    <mergeCell ref="H108:I108"/>
    <mergeCell ref="D119:E119"/>
    <mergeCell ref="F119:G119"/>
    <mergeCell ref="H119:I119"/>
    <mergeCell ref="D120:E120"/>
    <mergeCell ref="F120:G120"/>
    <mergeCell ref="H120:I120"/>
    <mergeCell ref="D131:E131"/>
    <mergeCell ref="F131:G131"/>
    <mergeCell ref="H131:I131"/>
    <mergeCell ref="D132:E132"/>
    <mergeCell ref="F132:G132"/>
    <mergeCell ref="H132:I132"/>
    <mergeCell ref="D32:E32"/>
    <mergeCell ref="F32:G32"/>
    <mergeCell ref="H32:I32"/>
    <mergeCell ref="D33:E33"/>
    <mergeCell ref="F33:G33"/>
    <mergeCell ref="H33:I33"/>
    <mergeCell ref="B33:C33"/>
    <mergeCell ref="D43:E43"/>
    <mergeCell ref="F43:G43"/>
    <mergeCell ref="H43:I43"/>
    <mergeCell ref="D44:E44"/>
    <mergeCell ref="F44:G44"/>
    <mergeCell ref="H44:I44"/>
    <mergeCell ref="B55:C55"/>
    <mergeCell ref="B44:C44"/>
    <mergeCell ref="D5:E5"/>
    <mergeCell ref="F5:G5"/>
    <mergeCell ref="H5:I5"/>
    <mergeCell ref="D6:E6"/>
    <mergeCell ref="F6:G6"/>
    <mergeCell ref="H6:I6"/>
    <mergeCell ref="B5:C5"/>
    <mergeCell ref="B6:C6"/>
    <mergeCell ref="G7:G11"/>
    <mergeCell ref="H7:H11"/>
    <mergeCell ref="I7:I11"/>
    <mergeCell ref="A7:A10"/>
    <mergeCell ref="D7:D11"/>
    <mergeCell ref="E7:E11"/>
    <mergeCell ref="F7:F11"/>
    <mergeCell ref="B7:B11"/>
    <mergeCell ref="C7:C11"/>
    <mergeCell ref="D21:E21"/>
    <mergeCell ref="F21:G21"/>
    <mergeCell ref="H21:I21"/>
    <mergeCell ref="D22:E22"/>
    <mergeCell ref="F22:G22"/>
    <mergeCell ref="H22:I22"/>
    <mergeCell ref="B22:C22"/>
    <mergeCell ref="D154:E154"/>
    <mergeCell ref="F154:G154"/>
    <mergeCell ref="H154:I154"/>
    <mergeCell ref="D143:E143"/>
    <mergeCell ref="F143:G143"/>
    <mergeCell ref="H143:I143"/>
    <mergeCell ref="D144:E144"/>
    <mergeCell ref="F144:G144"/>
    <mergeCell ref="H144:I144"/>
    <mergeCell ref="B144:C144"/>
    <mergeCell ref="B64:C64"/>
    <mergeCell ref="B74:C74"/>
    <mergeCell ref="B84:C84"/>
    <mergeCell ref="B97:C97"/>
    <mergeCell ref="B108:C108"/>
    <mergeCell ref="B120:C120"/>
    <mergeCell ref="B132:C132"/>
  </mergeCells>
  <printOptions horizontalCentered="1"/>
  <pageMargins bottom="0.75" footer="0.0" header="0.0" left="0.25" right="0.25" top="0.75"/>
  <pageSetup fitToHeight="0" paperSize="9" orientation="portrait" pageOrder="overThenDown"/>
  <drawing r:id="rId1"/>
</worksheet>
</file>